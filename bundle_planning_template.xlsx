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Scoring_Model" sheetId="2" state="visible" r:id="rId2"/>
    <sheet name="Bundle_Recommendations" sheetId="3" state="visible" r:id="rId3"/>
    <sheet name="All_Possible_Bundles" sheetId="4" state="visible" r:id="rId4"/>
    <sheet name="Logic" sheetId="5" state="visible" r:id="rId5"/>
    <sheet name="Top_15_Bundles" sheetId="6" state="visible" r:id="rId6"/>
  </sheets>
  <definedNames>
    <definedName name="_xlnm._FilterDatabase" localSheetId="1" hidden="1">'Scoring_Model'!$A$1:$Y$300</definedName>
    <definedName name="_xlnm._FilterDatabase" localSheetId="2" hidden="1">'Bundle_Recommendations'!$A$1:$L$300</definedName>
    <definedName name="_xlnm._FilterDatabase" localSheetId="3" hidden="1">'All_Possible_Bundles'!$A$1:$L$11</definedName>
    <definedName name="_xlnm._FilterDatabase" localSheetId="5" hidden="1">'Top_15_Bundles'!$A$1:$L$11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15" customWidth="1" min="12" max="12"/>
  </cols>
  <sheetData>
    <row r="1">
      <c r="A1" s="1" t="inlineStr">
        <is>
          <t>clean_product_name</t>
        </is>
      </c>
      <c r="B1" s="1" t="inlineStr">
        <is>
          <t>category</t>
        </is>
      </c>
      <c r="C1" s="1" t="inlineStr">
        <is>
          <t>product_id</t>
        </is>
      </c>
      <c r="D1" s="1" t="inlineStr">
        <is>
          <t>purchased_item_count</t>
        </is>
      </c>
      <c r="E1" s="1" t="inlineStr">
        <is>
          <t>purchased_qty_m1</t>
        </is>
      </c>
      <c r="F1" s="1" t="inlineStr">
        <is>
          <t>purchased_qty_m2</t>
        </is>
      </c>
      <c r="G1" s="1" t="inlineStr">
        <is>
          <t>purchased_qty_m3</t>
        </is>
      </c>
      <c r="H1" s="1" t="inlineStr">
        <is>
          <t>purchased_qty_m4</t>
        </is>
      </c>
      <c r="I1" s="1" t="inlineStr">
        <is>
          <t>cont_from_total</t>
        </is>
      </c>
      <c r="J1" s="1" t="inlineStr">
        <is>
          <t>stock</t>
        </is>
      </c>
      <c r="K1" s="1" t="inlineStr">
        <is>
          <t>reserved_stock</t>
        </is>
      </c>
      <c r="L1" s="1" t="inlineStr">
        <is>
          <t>available_stock</t>
        </is>
      </c>
    </row>
    <row r="2">
      <c r="A2" t="inlineStr">
        <is>
          <t>Sparkling Water 330ml</t>
        </is>
      </c>
      <c r="B2" t="inlineStr">
        <is>
          <t>beverages</t>
        </is>
      </c>
      <c r="C2" t="inlineStr">
        <is>
          <t>P-1001</t>
        </is>
      </c>
      <c r="D2" t="n">
        <v>5210</v>
      </c>
      <c r="E2" t="n">
        <v>520</v>
      </c>
      <c r="F2" t="n">
        <v>560</v>
      </c>
      <c r="G2" t="n">
        <v>610</v>
      </c>
      <c r="H2" t="n">
        <v>640</v>
      </c>
      <c r="I2" s="2" t="n">
        <v>0.091</v>
      </c>
      <c r="J2" t="n">
        <v>1400</v>
      </c>
      <c r="K2" t="n">
        <v>220</v>
      </c>
      <c r="L2" t="n">
        <v>1180</v>
      </c>
    </row>
    <row r="3">
      <c r="A3" t="inlineStr">
        <is>
          <t>Premium Coffee Beans 1kg</t>
        </is>
      </c>
      <c r="B3" t="inlineStr">
        <is>
          <t>beverages</t>
        </is>
      </c>
      <c r="C3" t="inlineStr">
        <is>
          <t>P-1002</t>
        </is>
      </c>
      <c r="D3" t="n">
        <v>3930</v>
      </c>
      <c r="E3" t="n">
        <v>215</v>
      </c>
      <c r="F3" t="n">
        <v>201</v>
      </c>
      <c r="G3" t="n">
        <v>184</v>
      </c>
      <c r="H3" t="n">
        <v>175</v>
      </c>
      <c r="I3" s="2" t="n">
        <v>0.044</v>
      </c>
      <c r="J3" t="n">
        <v>520</v>
      </c>
      <c r="K3" t="n">
        <v>55</v>
      </c>
      <c r="L3" t="n">
        <v>465</v>
      </c>
    </row>
    <row r="4">
      <c r="A4" t="inlineStr">
        <is>
          <t>Dry Fruit Mix 200g</t>
        </is>
      </c>
      <c r="B4" t="inlineStr">
        <is>
          <t>snacks</t>
        </is>
      </c>
      <c r="C4" t="inlineStr">
        <is>
          <t>P-2001</t>
        </is>
      </c>
      <c r="D4" t="n">
        <v>880</v>
      </c>
      <c r="E4" t="n">
        <v>64</v>
      </c>
      <c r="F4" t="n">
        <v>58</v>
      </c>
      <c r="G4" t="n">
        <v>52</v>
      </c>
      <c r="H4" t="n">
        <v>45</v>
      </c>
      <c r="I4" s="2" t="n">
        <v>0.021</v>
      </c>
      <c r="J4" t="n">
        <v>980</v>
      </c>
      <c r="K4" t="n">
        <v>75</v>
      </c>
      <c r="L4" t="n">
        <v>905</v>
      </c>
    </row>
    <row r="5">
      <c r="A5" t="inlineStr">
        <is>
          <t>Sea Salt Crackers</t>
        </is>
      </c>
      <c r="B5" t="inlineStr">
        <is>
          <t>snacks</t>
        </is>
      </c>
      <c r="C5" t="inlineStr">
        <is>
          <t>P-2002</t>
        </is>
      </c>
      <c r="D5" t="n">
        <v>6420</v>
      </c>
      <c r="E5" t="n">
        <v>590</v>
      </c>
      <c r="F5" t="n">
        <v>615</v>
      </c>
      <c r="G5" t="n">
        <v>640</v>
      </c>
      <c r="H5" t="n">
        <v>672</v>
      </c>
      <c r="I5" s="2" t="n">
        <v>0.102</v>
      </c>
      <c r="J5" t="n">
        <v>1700</v>
      </c>
      <c r="K5" t="n">
        <v>260</v>
      </c>
      <c r="L5" t="n">
        <v>1440</v>
      </c>
    </row>
    <row r="6">
      <c r="A6" t="inlineStr">
        <is>
          <t>Aloe Vera Gel 250ml</t>
        </is>
      </c>
      <c r="B6" t="inlineStr">
        <is>
          <t>personal care</t>
        </is>
      </c>
      <c r="C6" t="inlineStr">
        <is>
          <t>P-3001</t>
        </is>
      </c>
      <c r="D6" t="n">
        <v>710</v>
      </c>
      <c r="E6" t="n">
        <v>24</v>
      </c>
      <c r="F6" t="n">
        <v>21</v>
      </c>
      <c r="G6" t="n">
        <v>18</v>
      </c>
      <c r="H6" t="n">
        <v>15</v>
      </c>
      <c r="I6" s="2" t="n">
        <v>0.013</v>
      </c>
      <c r="J6" t="n">
        <v>760</v>
      </c>
      <c r="K6" t="n">
        <v>105</v>
      </c>
      <c r="L6" t="n">
        <v>655</v>
      </c>
    </row>
    <row r="7">
      <c r="I7" s="2" t="n"/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  <row r="100">
      <c r="I100" s="2" t="n"/>
    </row>
    <row r="101">
      <c r="I101" s="2" t="n"/>
    </row>
    <row r="102">
      <c r="I102" s="2" t="n"/>
    </row>
    <row r="103">
      <c r="I103" s="2" t="n"/>
    </row>
    <row r="104">
      <c r="I104" s="2" t="n"/>
    </row>
    <row r="105">
      <c r="I105" s="2" t="n"/>
    </row>
    <row r="106">
      <c r="I106" s="2" t="n"/>
    </row>
    <row r="107">
      <c r="I107" s="2" t="n"/>
    </row>
    <row r="108">
      <c r="I108" s="2" t="n"/>
    </row>
    <row r="109">
      <c r="I109" s="2" t="n"/>
    </row>
    <row r="110">
      <c r="I110" s="2" t="n"/>
    </row>
    <row r="111">
      <c r="I111" s="2" t="n"/>
    </row>
    <row r="112">
      <c r="I112" s="2" t="n"/>
    </row>
    <row r="113">
      <c r="I113" s="2" t="n"/>
    </row>
    <row r="114">
      <c r="I114" s="2" t="n"/>
    </row>
    <row r="115">
      <c r="I115" s="2" t="n"/>
    </row>
    <row r="116">
      <c r="I116" s="2" t="n"/>
    </row>
    <row r="117">
      <c r="I117" s="2" t="n"/>
    </row>
    <row r="118">
      <c r="I118" s="2" t="n"/>
    </row>
    <row r="119">
      <c r="I119" s="2" t="n"/>
    </row>
    <row r="120">
      <c r="I120" s="2" t="n"/>
    </row>
    <row r="121">
      <c r="I121" s="2" t="n"/>
    </row>
    <row r="122">
      <c r="I122" s="2" t="n"/>
    </row>
    <row r="123">
      <c r="I123" s="2" t="n"/>
    </row>
    <row r="124">
      <c r="I124" s="2" t="n"/>
    </row>
    <row r="125">
      <c r="I125" s="2" t="n"/>
    </row>
    <row r="126">
      <c r="I126" s="2" t="n"/>
    </row>
    <row r="127">
      <c r="I127" s="2" t="n"/>
    </row>
    <row r="128">
      <c r="I128" s="2" t="n"/>
    </row>
    <row r="129">
      <c r="I129" s="2" t="n"/>
    </row>
    <row r="130">
      <c r="I130" s="2" t="n"/>
    </row>
    <row r="131">
      <c r="I131" s="2" t="n"/>
    </row>
    <row r="132">
      <c r="I132" s="2" t="n"/>
    </row>
    <row r="133">
      <c r="I133" s="2" t="n"/>
    </row>
    <row r="134">
      <c r="I134" s="2" t="n"/>
    </row>
    <row r="135">
      <c r="I135" s="2" t="n"/>
    </row>
    <row r="136">
      <c r="I136" s="2" t="n"/>
    </row>
    <row r="137">
      <c r="I137" s="2" t="n"/>
    </row>
    <row r="138">
      <c r="I138" s="2" t="n"/>
    </row>
    <row r="139">
      <c r="I139" s="2" t="n"/>
    </row>
    <row r="140">
      <c r="I140" s="2" t="n"/>
    </row>
    <row r="141">
      <c r="I141" s="2" t="n"/>
    </row>
    <row r="142">
      <c r="I142" s="2" t="n"/>
    </row>
    <row r="143">
      <c r="I143" s="2" t="n"/>
    </row>
    <row r="144">
      <c r="I144" s="2" t="n"/>
    </row>
    <row r="145">
      <c r="I145" s="2" t="n"/>
    </row>
    <row r="146">
      <c r="I146" s="2" t="n"/>
    </row>
    <row r="147">
      <c r="I147" s="2" t="n"/>
    </row>
    <row r="148">
      <c r="I148" s="2" t="n"/>
    </row>
    <row r="149">
      <c r="I149" s="2" t="n"/>
    </row>
    <row r="150">
      <c r="I150" s="2" t="n"/>
    </row>
    <row r="151">
      <c r="I151" s="2" t="n"/>
    </row>
    <row r="152">
      <c r="I152" s="2" t="n"/>
    </row>
    <row r="153">
      <c r="I153" s="2" t="n"/>
    </row>
    <row r="154">
      <c r="I154" s="2" t="n"/>
    </row>
    <row r="155">
      <c r="I155" s="2" t="n"/>
    </row>
    <row r="156">
      <c r="I156" s="2" t="n"/>
    </row>
    <row r="157">
      <c r="I157" s="2" t="n"/>
    </row>
    <row r="158">
      <c r="I158" s="2" t="n"/>
    </row>
    <row r="159">
      <c r="I159" s="2" t="n"/>
    </row>
    <row r="160">
      <c r="I160" s="2" t="n"/>
    </row>
    <row r="161">
      <c r="I161" s="2" t="n"/>
    </row>
    <row r="162">
      <c r="I162" s="2" t="n"/>
    </row>
    <row r="163">
      <c r="I163" s="2" t="n"/>
    </row>
    <row r="164">
      <c r="I164" s="2" t="n"/>
    </row>
    <row r="165">
      <c r="I165" s="2" t="n"/>
    </row>
    <row r="166">
      <c r="I166" s="2" t="n"/>
    </row>
    <row r="167">
      <c r="I167" s="2" t="n"/>
    </row>
    <row r="168">
      <c r="I168" s="2" t="n"/>
    </row>
    <row r="169">
      <c r="I169" s="2" t="n"/>
    </row>
    <row r="170">
      <c r="I170" s="2" t="n"/>
    </row>
    <row r="171">
      <c r="I171" s="2" t="n"/>
    </row>
    <row r="172">
      <c r="I172" s="2" t="n"/>
    </row>
    <row r="173">
      <c r="I173" s="2" t="n"/>
    </row>
    <row r="174">
      <c r="I174" s="2" t="n"/>
    </row>
    <row r="175">
      <c r="I175" s="2" t="n"/>
    </row>
    <row r="176">
      <c r="I176" s="2" t="n"/>
    </row>
    <row r="177">
      <c r="I177" s="2" t="n"/>
    </row>
    <row r="178">
      <c r="I178" s="2" t="n"/>
    </row>
    <row r="179">
      <c r="I179" s="2" t="n"/>
    </row>
    <row r="180">
      <c r="I180" s="2" t="n"/>
    </row>
    <row r="181">
      <c r="I181" s="2" t="n"/>
    </row>
    <row r="182">
      <c r="I182" s="2" t="n"/>
    </row>
    <row r="183">
      <c r="I183" s="2" t="n"/>
    </row>
    <row r="184">
      <c r="I184" s="2" t="n"/>
    </row>
    <row r="185">
      <c r="I185" s="2" t="n"/>
    </row>
    <row r="186">
      <c r="I186" s="2" t="n"/>
    </row>
    <row r="187">
      <c r="I187" s="2" t="n"/>
    </row>
    <row r="188">
      <c r="I188" s="2" t="n"/>
    </row>
    <row r="189">
      <c r="I189" s="2" t="n"/>
    </row>
    <row r="190">
      <c r="I190" s="2" t="n"/>
    </row>
    <row r="191">
      <c r="I191" s="2" t="n"/>
    </row>
    <row r="192">
      <c r="I192" s="2" t="n"/>
    </row>
    <row r="193">
      <c r="I193" s="2" t="n"/>
    </row>
    <row r="194">
      <c r="I194" s="2" t="n"/>
    </row>
    <row r="195">
      <c r="I195" s="2" t="n"/>
    </row>
    <row r="196">
      <c r="I196" s="2" t="n"/>
    </row>
    <row r="197">
      <c r="I197" s="2" t="n"/>
    </row>
    <row r="198">
      <c r="I198" s="2" t="n"/>
    </row>
    <row r="199">
      <c r="I199" s="2" t="n"/>
    </row>
    <row r="200">
      <c r="I200" s="2" t="n"/>
    </row>
    <row r="201">
      <c r="I201" s="2" t="n"/>
    </row>
    <row r="202">
      <c r="I202" s="2" t="n"/>
    </row>
    <row r="203">
      <c r="I203" s="2" t="n"/>
    </row>
    <row r="204">
      <c r="I204" s="2" t="n"/>
    </row>
    <row r="205">
      <c r="I205" s="2" t="n"/>
    </row>
    <row r="206">
      <c r="I206" s="2" t="n"/>
    </row>
    <row r="207">
      <c r="I207" s="2" t="n"/>
    </row>
    <row r="208">
      <c r="I208" s="2" t="n"/>
    </row>
    <row r="209">
      <c r="I209" s="2" t="n"/>
    </row>
    <row r="210">
      <c r="I210" s="2" t="n"/>
    </row>
    <row r="211">
      <c r="I211" s="2" t="n"/>
    </row>
    <row r="212">
      <c r="I212" s="2" t="n"/>
    </row>
    <row r="213">
      <c r="I213" s="2" t="n"/>
    </row>
    <row r="214">
      <c r="I214" s="2" t="n"/>
    </row>
    <row r="215">
      <c r="I215" s="2" t="n"/>
    </row>
    <row r="216">
      <c r="I216" s="2" t="n"/>
    </row>
    <row r="217">
      <c r="I217" s="2" t="n"/>
    </row>
    <row r="218">
      <c r="I218" s="2" t="n"/>
    </row>
    <row r="219">
      <c r="I219" s="2" t="n"/>
    </row>
    <row r="220">
      <c r="I220" s="2" t="n"/>
    </row>
    <row r="221">
      <c r="I221" s="2" t="n"/>
    </row>
    <row r="222">
      <c r="I222" s="2" t="n"/>
    </row>
    <row r="223">
      <c r="I223" s="2" t="n"/>
    </row>
    <row r="224">
      <c r="I224" s="2" t="n"/>
    </row>
    <row r="225">
      <c r="I225" s="2" t="n"/>
    </row>
    <row r="226">
      <c r="I226" s="2" t="n"/>
    </row>
    <row r="227">
      <c r="I227" s="2" t="n"/>
    </row>
    <row r="228">
      <c r="I228" s="2" t="n"/>
    </row>
    <row r="229">
      <c r="I229" s="2" t="n"/>
    </row>
    <row r="230">
      <c r="I230" s="2" t="n"/>
    </row>
    <row r="231">
      <c r="I231" s="2" t="n"/>
    </row>
    <row r="232">
      <c r="I232" s="2" t="n"/>
    </row>
    <row r="233">
      <c r="I233" s="2" t="n"/>
    </row>
    <row r="234">
      <c r="I234" s="2" t="n"/>
    </row>
    <row r="235">
      <c r="I235" s="2" t="n"/>
    </row>
    <row r="236">
      <c r="I236" s="2" t="n"/>
    </row>
    <row r="237">
      <c r="I237" s="2" t="n"/>
    </row>
    <row r="238">
      <c r="I238" s="2" t="n"/>
    </row>
    <row r="239">
      <c r="I239" s="2" t="n"/>
    </row>
    <row r="240">
      <c r="I240" s="2" t="n"/>
    </row>
    <row r="241">
      <c r="I241" s="2" t="n"/>
    </row>
    <row r="242">
      <c r="I242" s="2" t="n"/>
    </row>
    <row r="243">
      <c r="I243" s="2" t="n"/>
    </row>
    <row r="244">
      <c r="I244" s="2" t="n"/>
    </row>
    <row r="245">
      <c r="I245" s="2" t="n"/>
    </row>
    <row r="246">
      <c r="I246" s="2" t="n"/>
    </row>
    <row r="247">
      <c r="I247" s="2" t="n"/>
    </row>
    <row r="248">
      <c r="I248" s="2" t="n"/>
    </row>
    <row r="249">
      <c r="I249" s="2" t="n"/>
    </row>
    <row r="250">
      <c r="I250" s="2" t="n"/>
    </row>
    <row r="251">
      <c r="I251" s="2" t="n"/>
    </row>
    <row r="252">
      <c r="I252" s="2" t="n"/>
    </row>
    <row r="253">
      <c r="I253" s="2" t="n"/>
    </row>
    <row r="254">
      <c r="I254" s="2" t="n"/>
    </row>
    <row r="255">
      <c r="I255" s="2" t="n"/>
    </row>
    <row r="256">
      <c r="I256" s="2" t="n"/>
    </row>
    <row r="257">
      <c r="I257" s="2" t="n"/>
    </row>
    <row r="258">
      <c r="I258" s="2" t="n"/>
    </row>
    <row r="259">
      <c r="I259" s="2" t="n"/>
    </row>
    <row r="260">
      <c r="I260" s="2" t="n"/>
    </row>
    <row r="261">
      <c r="I261" s="2" t="n"/>
    </row>
    <row r="262">
      <c r="I262" s="2" t="n"/>
    </row>
    <row r="263">
      <c r="I263" s="2" t="n"/>
    </row>
    <row r="264">
      <c r="I264" s="2" t="n"/>
    </row>
    <row r="265">
      <c r="I265" s="2" t="n"/>
    </row>
    <row r="266">
      <c r="I266" s="2" t="n"/>
    </row>
    <row r="267">
      <c r="I267" s="2" t="n"/>
    </row>
    <row r="268">
      <c r="I268" s="2" t="n"/>
    </row>
    <row r="269">
      <c r="I269" s="2" t="n"/>
    </row>
    <row r="270">
      <c r="I270" s="2" t="n"/>
    </row>
    <row r="271">
      <c r="I271" s="2" t="n"/>
    </row>
    <row r="272">
      <c r="I272" s="2" t="n"/>
    </row>
    <row r="273">
      <c r="I273" s="2" t="n"/>
    </row>
    <row r="274">
      <c r="I274" s="2" t="n"/>
    </row>
    <row r="275">
      <c r="I275" s="2" t="n"/>
    </row>
    <row r="276">
      <c r="I276" s="2" t="n"/>
    </row>
    <row r="277">
      <c r="I277" s="2" t="n"/>
    </row>
    <row r="278">
      <c r="I278" s="2" t="n"/>
    </row>
    <row r="279">
      <c r="I279" s="2" t="n"/>
    </row>
    <row r="280">
      <c r="I280" s="2" t="n"/>
    </row>
    <row r="281">
      <c r="I281" s="2" t="n"/>
    </row>
    <row r="282">
      <c r="I282" s="2" t="n"/>
    </row>
    <row r="283">
      <c r="I283" s="2" t="n"/>
    </row>
    <row r="284">
      <c r="I284" s="2" t="n"/>
    </row>
    <row r="285">
      <c r="I285" s="2" t="n"/>
    </row>
    <row r="286">
      <c r="I286" s="2" t="n"/>
    </row>
    <row r="287">
      <c r="I287" s="2" t="n"/>
    </row>
    <row r="288">
      <c r="I288" s="2" t="n"/>
    </row>
    <row r="289">
      <c r="I289" s="2" t="n"/>
    </row>
    <row r="290">
      <c r="I290" s="2" t="n"/>
    </row>
    <row r="291">
      <c r="I291" s="2" t="n"/>
    </row>
    <row r="292">
      <c r="I292" s="2" t="n"/>
    </row>
    <row r="293">
      <c r="I293" s="2" t="n"/>
    </row>
    <row r="294">
      <c r="I294" s="2" t="n"/>
    </row>
    <row r="295">
      <c r="I295" s="2" t="n"/>
    </row>
    <row r="296">
      <c r="I296" s="2" t="n"/>
    </row>
    <row r="297">
      <c r="I297" s="2" t="n"/>
    </row>
    <row r="298">
      <c r="I298" s="2" t="n"/>
    </row>
    <row r="299">
      <c r="I299" s="2" t="n"/>
    </row>
    <row r="300">
      <c r="I300" s="2" t="n"/>
    </row>
    <row r="30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0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2" customWidth="1" min="10" max="10"/>
    <col width="12" customWidth="1" min="11" max="11"/>
    <col width="14" customWidth="1" min="12" max="12"/>
    <col width="14" customWidth="1" min="13" max="13"/>
    <col width="18" customWidth="1" min="14" max="14"/>
    <col width="15" customWidth="1" min="15" max="15"/>
    <col width="20" customWidth="1" min="16" max="16"/>
    <col width="23" customWidth="1" min="17" max="17"/>
    <col width="20" customWidth="1" min="18" max="18"/>
    <col width="18" customWidth="1" min="19" max="19"/>
    <col width="20" customWidth="1" min="20" max="20"/>
    <col width="15" customWidth="1" min="21" max="21"/>
    <col width="18" customWidth="1" min="22" max="22"/>
    <col width="20" customWidth="1" min="23" max="23"/>
    <col width="18" customWidth="1" min="24" max="24"/>
    <col width="25" customWidth="1" min="25" max="25"/>
  </cols>
  <sheetData>
    <row r="1">
      <c r="A1" s="1" t="inlineStr">
        <is>
          <t>product_id</t>
        </is>
      </c>
      <c r="B1" s="1" t="inlineStr">
        <is>
          <t>clean_product_name</t>
        </is>
      </c>
      <c r="C1" s="1" t="inlineStr">
        <is>
          <t>category</t>
        </is>
      </c>
      <c r="D1" s="1" t="inlineStr">
        <is>
          <t>purchased_item_count</t>
        </is>
      </c>
      <c r="E1" s="1" t="inlineStr">
        <is>
          <t>sold_qty_last_4m</t>
        </is>
      </c>
      <c r="F1" s="1" t="inlineStr">
        <is>
          <t>avg_monthly_qty_4m</t>
        </is>
      </c>
      <c r="G1" s="1" t="inlineStr">
        <is>
          <t>Movement_Percentile</t>
        </is>
      </c>
      <c r="H1" s="1" t="inlineStr">
        <is>
          <t>Slow_Mover_Score</t>
        </is>
      </c>
      <c r="I1" s="1" t="inlineStr">
        <is>
          <t>cont_from_total</t>
        </is>
      </c>
      <c r="J1" s="1" t="inlineStr">
        <is>
          <t>Contribution_Percentile</t>
        </is>
      </c>
      <c r="K1" s="1" t="inlineStr">
        <is>
          <t>stock</t>
        </is>
      </c>
      <c r="L1" s="1" t="inlineStr">
        <is>
          <t>reserved_stock</t>
        </is>
      </c>
      <c r="M1" s="1" t="inlineStr">
        <is>
          <t>available_stock</t>
        </is>
      </c>
      <c r="N1" s="1" t="inlineStr">
        <is>
          <t>available_stock_calc</t>
        </is>
      </c>
      <c r="O1" s="1" t="inlineStr">
        <is>
          <t>stock_data_check</t>
        </is>
      </c>
      <c r="P1" s="1" t="inlineStr">
        <is>
          <t>stock_coverage_months</t>
        </is>
      </c>
      <c r="Q1" s="1" t="inlineStr">
        <is>
          <t>Stock_Pressure_Percentile</t>
        </is>
      </c>
      <c r="R1" s="1" t="inlineStr">
        <is>
          <t>Bundle_Priority_Score</t>
        </is>
      </c>
      <c r="S1" s="1" t="inlineStr">
        <is>
          <t>Movement_Band</t>
        </is>
      </c>
      <c r="T1" s="1" t="inlineStr">
        <is>
          <t>Bundle_Value_Cluster</t>
        </is>
      </c>
      <c r="U1" s="1" t="inlineStr">
        <is>
          <t>Anchor_Eligible</t>
        </is>
      </c>
      <c r="V1" s="1" t="inlineStr">
        <is>
          <t>Candidate_Eligible</t>
        </is>
      </c>
      <c r="W1" s="1" t="inlineStr">
        <is>
          <t>Suggested_Discount_%</t>
        </is>
      </c>
      <c r="X1" s="1" t="inlineStr">
        <is>
          <t>Anchor_Key</t>
        </is>
      </c>
      <c r="Y1" s="1" t="inlineStr">
        <is>
          <t>Anchor_Name</t>
        </is>
      </c>
    </row>
    <row r="2">
      <c r="A2">
        <f>Input_Data!C2</f>
        <v/>
      </c>
      <c r="B2">
        <f>Input_Data!A2</f>
        <v/>
      </c>
      <c r="C2">
        <f>Input_Data!B2</f>
        <v/>
      </c>
      <c r="D2">
        <f>Input_Data!D2</f>
        <v/>
      </c>
      <c r="E2">
        <f>IF(A2="","",SUM(Input_Data!E2:H2))</f>
        <v/>
      </c>
      <c r="F2">
        <f>IF(E2="","",E2/4)</f>
        <v/>
      </c>
      <c r="G2" s="2">
        <f>IF(E2="","",IF(COUNTA($E$2:$E$300)&lt;=1,0,PERCENTRANK.INC($E$2:$E$300,E2)))</f>
        <v/>
      </c>
      <c r="H2" s="2">
        <f>IF(G2="","",1-G2)</f>
        <v/>
      </c>
      <c r="I2" s="2">
        <f>Input_Data!I2</f>
        <v/>
      </c>
      <c r="J2" s="2">
        <f>IF(I2="","",IF(COUNTA($I$2:$I$300)&lt;=1,0,PERCENTRANK.INC($I$2:$I$300,I2)))</f>
        <v/>
      </c>
      <c r="K2">
        <f>Input_Data!J2</f>
        <v/>
      </c>
      <c r="L2">
        <f>Input_Data!K2</f>
        <v/>
      </c>
      <c r="M2">
        <f>Input_Data!L2</f>
        <v/>
      </c>
      <c r="N2">
        <f>IF(K2="","",K2-L2)</f>
        <v/>
      </c>
      <c r="O2">
        <f>IF(A2="","",IF(ABS(M2-N2)&lt;=1,"OK","CHECK"))</f>
        <v/>
      </c>
      <c r="P2">
        <f>IF(M2="","",IF(F2=0,99,M2/F2))</f>
        <v/>
      </c>
      <c r="Q2" s="2">
        <f>IF(P2="","",IF(COUNTA($P$2:$P$300)&lt;=1,0,PERCENTRANK.INC($P$2:$P$300,P2)))</f>
        <v/>
      </c>
      <c r="R2" s="2">
        <f>IF(A2="","",0.45*H2+0.35*Q2+0.20*J2)</f>
        <v/>
      </c>
      <c r="S2">
        <f>IF(G2="","",IF(G2&lt;=0.33,"Low Movement",IF(G2&lt;=0.66,"Medium Movement","High Movement")))</f>
        <v/>
      </c>
      <c r="T2">
        <f>IF(R2="","",IF(R2&gt;=0.67,"High Value Bundle",IF(R2&gt;=0.34,"Medium Value Bundle","Low Value Bundle")))</f>
        <v/>
      </c>
      <c r="U2">
        <f>IF(A2="","",IF(AND(G2&gt;=0.70,J2&gt;=0.70,M2&gt;0),"Yes","No"))</f>
        <v/>
      </c>
      <c r="V2">
        <f>IF(A2="","",IF(AND(S2="Low Movement",M2&gt;0,P2&gt;=2),"Yes","No"))</f>
        <v/>
      </c>
      <c r="W2" s="2">
        <f>IF(T2="","",MIN(0.12,IF(T2="High Value Bundle",0.05,IF(T2="Medium Value Bundle",0.07,0.10))+IF(P2&gt;=8,0.02,0)))</f>
        <v/>
      </c>
      <c r="X2">
        <f>IF(U2="Yes",C2&amp;"|anchor","")</f>
        <v/>
      </c>
      <c r="Y2">
        <f>IF(U2="Yes",B2,"")</f>
        <v/>
      </c>
    </row>
    <row r="3">
      <c r="A3">
        <f>Input_Data!C3</f>
        <v/>
      </c>
      <c r="B3">
        <f>Input_Data!A3</f>
        <v/>
      </c>
      <c r="C3">
        <f>Input_Data!B3</f>
        <v/>
      </c>
      <c r="D3">
        <f>Input_Data!D3</f>
        <v/>
      </c>
      <c r="E3">
        <f>IF(A3="","",SUM(Input_Data!E3:H3))</f>
        <v/>
      </c>
      <c r="F3">
        <f>IF(E3="","",E3/4)</f>
        <v/>
      </c>
      <c r="G3" s="2">
        <f>IF(E3="","",IF(COUNTA($E$2:$E$300)&lt;=1,0,PERCENTRANK.INC($E$2:$E$300,E3)))</f>
        <v/>
      </c>
      <c r="H3" s="2">
        <f>IF(G3="","",1-G3)</f>
        <v/>
      </c>
      <c r="I3" s="2">
        <f>Input_Data!I3</f>
        <v/>
      </c>
      <c r="J3" s="2">
        <f>IF(I3="","",IF(COUNTA($I$2:$I$300)&lt;=1,0,PERCENTRANK.INC($I$2:$I$300,I3)))</f>
        <v/>
      </c>
      <c r="K3">
        <f>Input_Data!J3</f>
        <v/>
      </c>
      <c r="L3">
        <f>Input_Data!K3</f>
        <v/>
      </c>
      <c r="M3">
        <f>Input_Data!L3</f>
        <v/>
      </c>
      <c r="N3">
        <f>IF(K3="","",K3-L3)</f>
        <v/>
      </c>
      <c r="O3">
        <f>IF(A3="","",IF(ABS(M3-N3)&lt;=1,"OK","CHECK"))</f>
        <v/>
      </c>
      <c r="P3">
        <f>IF(M3="","",IF(F3=0,99,M3/F3))</f>
        <v/>
      </c>
      <c r="Q3" s="2">
        <f>IF(P3="","",IF(COUNTA($P$2:$P$300)&lt;=1,0,PERCENTRANK.INC($P$2:$P$300,P3)))</f>
        <v/>
      </c>
      <c r="R3" s="2">
        <f>IF(A3="","",0.45*H3+0.35*Q3+0.20*J3)</f>
        <v/>
      </c>
      <c r="S3">
        <f>IF(G3="","",IF(G3&lt;=0.33,"Low Movement",IF(G3&lt;=0.66,"Medium Movement","High Movement")))</f>
        <v/>
      </c>
      <c r="T3">
        <f>IF(R3="","",IF(R3&gt;=0.67,"High Value Bundle",IF(R3&gt;=0.34,"Medium Value Bundle","Low Value Bundle")))</f>
        <v/>
      </c>
      <c r="U3">
        <f>IF(A3="","",IF(AND(G3&gt;=0.70,J3&gt;=0.70,M3&gt;0),"Yes","No"))</f>
        <v/>
      </c>
      <c r="V3">
        <f>IF(A3="","",IF(AND(S3="Low Movement",M3&gt;0,P3&gt;=2),"Yes","No"))</f>
        <v/>
      </c>
      <c r="W3" s="2">
        <f>IF(T3="","",MIN(0.12,IF(T3="High Value Bundle",0.05,IF(T3="Medium Value Bundle",0.07,0.10))+IF(P3&gt;=8,0.02,0)))</f>
        <v/>
      </c>
      <c r="X3">
        <f>IF(U3="Yes",C3&amp;"|anchor","")</f>
        <v/>
      </c>
      <c r="Y3">
        <f>IF(U3="Yes",B3,"")</f>
        <v/>
      </c>
    </row>
    <row r="4">
      <c r="A4">
        <f>Input_Data!C4</f>
        <v/>
      </c>
      <c r="B4">
        <f>Input_Data!A4</f>
        <v/>
      </c>
      <c r="C4">
        <f>Input_Data!B4</f>
        <v/>
      </c>
      <c r="D4">
        <f>Input_Data!D4</f>
        <v/>
      </c>
      <c r="E4">
        <f>IF(A4="","",SUM(Input_Data!E4:H4))</f>
        <v/>
      </c>
      <c r="F4">
        <f>IF(E4="","",E4/4)</f>
        <v/>
      </c>
      <c r="G4" s="2">
        <f>IF(E4="","",IF(COUNTA($E$2:$E$300)&lt;=1,0,PERCENTRANK.INC($E$2:$E$300,E4)))</f>
        <v/>
      </c>
      <c r="H4" s="2">
        <f>IF(G4="","",1-G4)</f>
        <v/>
      </c>
      <c r="I4" s="2">
        <f>Input_Data!I4</f>
        <v/>
      </c>
      <c r="J4" s="2">
        <f>IF(I4="","",IF(COUNTA($I$2:$I$300)&lt;=1,0,PERCENTRANK.INC($I$2:$I$300,I4)))</f>
        <v/>
      </c>
      <c r="K4">
        <f>Input_Data!J4</f>
        <v/>
      </c>
      <c r="L4">
        <f>Input_Data!K4</f>
        <v/>
      </c>
      <c r="M4">
        <f>Input_Data!L4</f>
        <v/>
      </c>
      <c r="N4">
        <f>IF(K4="","",K4-L4)</f>
        <v/>
      </c>
      <c r="O4">
        <f>IF(A4="","",IF(ABS(M4-N4)&lt;=1,"OK","CHECK"))</f>
        <v/>
      </c>
      <c r="P4">
        <f>IF(M4="","",IF(F4=0,99,M4/F4))</f>
        <v/>
      </c>
      <c r="Q4" s="2">
        <f>IF(P4="","",IF(COUNTA($P$2:$P$300)&lt;=1,0,PERCENTRANK.INC($P$2:$P$300,P4)))</f>
        <v/>
      </c>
      <c r="R4" s="2">
        <f>IF(A4="","",0.45*H4+0.35*Q4+0.20*J4)</f>
        <v/>
      </c>
      <c r="S4">
        <f>IF(G4="","",IF(G4&lt;=0.33,"Low Movement",IF(G4&lt;=0.66,"Medium Movement","High Movement")))</f>
        <v/>
      </c>
      <c r="T4">
        <f>IF(R4="","",IF(R4&gt;=0.67,"High Value Bundle",IF(R4&gt;=0.34,"Medium Value Bundle","Low Value Bundle")))</f>
        <v/>
      </c>
      <c r="U4">
        <f>IF(A4="","",IF(AND(G4&gt;=0.70,J4&gt;=0.70,M4&gt;0),"Yes","No"))</f>
        <v/>
      </c>
      <c r="V4">
        <f>IF(A4="","",IF(AND(S4="Low Movement",M4&gt;0,P4&gt;=2),"Yes","No"))</f>
        <v/>
      </c>
      <c r="W4" s="2">
        <f>IF(T4="","",MIN(0.12,IF(T4="High Value Bundle",0.05,IF(T4="Medium Value Bundle",0.07,0.10))+IF(P4&gt;=8,0.02,0)))</f>
        <v/>
      </c>
      <c r="X4">
        <f>IF(U4="Yes",C4&amp;"|anchor","")</f>
        <v/>
      </c>
      <c r="Y4">
        <f>IF(U4="Yes",B4,"")</f>
        <v/>
      </c>
    </row>
    <row r="5">
      <c r="A5">
        <f>Input_Data!C5</f>
        <v/>
      </c>
      <c r="B5">
        <f>Input_Data!A5</f>
        <v/>
      </c>
      <c r="C5">
        <f>Input_Data!B5</f>
        <v/>
      </c>
      <c r="D5">
        <f>Input_Data!D5</f>
        <v/>
      </c>
      <c r="E5">
        <f>IF(A5="","",SUM(Input_Data!E5:H5))</f>
        <v/>
      </c>
      <c r="F5">
        <f>IF(E5="","",E5/4)</f>
        <v/>
      </c>
      <c r="G5" s="2">
        <f>IF(E5="","",IF(COUNTA($E$2:$E$300)&lt;=1,0,PERCENTRANK.INC($E$2:$E$300,E5)))</f>
        <v/>
      </c>
      <c r="H5" s="2">
        <f>IF(G5="","",1-G5)</f>
        <v/>
      </c>
      <c r="I5" s="2">
        <f>Input_Data!I5</f>
        <v/>
      </c>
      <c r="J5" s="2">
        <f>IF(I5="","",IF(COUNTA($I$2:$I$300)&lt;=1,0,PERCENTRANK.INC($I$2:$I$300,I5)))</f>
        <v/>
      </c>
      <c r="K5">
        <f>Input_Data!J5</f>
        <v/>
      </c>
      <c r="L5">
        <f>Input_Data!K5</f>
        <v/>
      </c>
      <c r="M5">
        <f>Input_Data!L5</f>
        <v/>
      </c>
      <c r="N5">
        <f>IF(K5="","",K5-L5)</f>
        <v/>
      </c>
      <c r="O5">
        <f>IF(A5="","",IF(ABS(M5-N5)&lt;=1,"OK","CHECK"))</f>
        <v/>
      </c>
      <c r="P5">
        <f>IF(M5="","",IF(F5=0,99,M5/F5))</f>
        <v/>
      </c>
      <c r="Q5" s="2">
        <f>IF(P5="","",IF(COUNTA($P$2:$P$300)&lt;=1,0,PERCENTRANK.INC($P$2:$P$300,P5)))</f>
        <v/>
      </c>
      <c r="R5" s="2">
        <f>IF(A5="","",0.45*H5+0.35*Q5+0.20*J5)</f>
        <v/>
      </c>
      <c r="S5">
        <f>IF(G5="","",IF(G5&lt;=0.33,"Low Movement",IF(G5&lt;=0.66,"Medium Movement","High Movement")))</f>
        <v/>
      </c>
      <c r="T5">
        <f>IF(R5="","",IF(R5&gt;=0.67,"High Value Bundle",IF(R5&gt;=0.34,"Medium Value Bundle","Low Value Bundle")))</f>
        <v/>
      </c>
      <c r="U5">
        <f>IF(A5="","",IF(AND(G5&gt;=0.70,J5&gt;=0.70,M5&gt;0),"Yes","No"))</f>
        <v/>
      </c>
      <c r="V5">
        <f>IF(A5="","",IF(AND(S5="Low Movement",M5&gt;0,P5&gt;=2),"Yes","No"))</f>
        <v/>
      </c>
      <c r="W5" s="2">
        <f>IF(T5="","",MIN(0.12,IF(T5="High Value Bundle",0.05,IF(T5="Medium Value Bundle",0.07,0.10))+IF(P5&gt;=8,0.02,0)))</f>
        <v/>
      </c>
      <c r="X5">
        <f>IF(U5="Yes",C5&amp;"|anchor","")</f>
        <v/>
      </c>
      <c r="Y5">
        <f>IF(U5="Yes",B5,"")</f>
        <v/>
      </c>
    </row>
    <row r="6">
      <c r="A6">
        <f>Input_Data!C6</f>
        <v/>
      </c>
      <c r="B6">
        <f>Input_Data!A6</f>
        <v/>
      </c>
      <c r="C6">
        <f>Input_Data!B6</f>
        <v/>
      </c>
      <c r="D6">
        <f>Input_Data!D6</f>
        <v/>
      </c>
      <c r="E6">
        <f>IF(A6="","",SUM(Input_Data!E6:H6))</f>
        <v/>
      </c>
      <c r="F6">
        <f>IF(E6="","",E6/4)</f>
        <v/>
      </c>
      <c r="G6" s="2">
        <f>IF(E6="","",IF(COUNTA($E$2:$E$300)&lt;=1,0,PERCENTRANK.INC($E$2:$E$300,E6)))</f>
        <v/>
      </c>
      <c r="H6" s="2">
        <f>IF(G6="","",1-G6)</f>
        <v/>
      </c>
      <c r="I6" s="2">
        <f>Input_Data!I6</f>
        <v/>
      </c>
      <c r="J6" s="2">
        <f>IF(I6="","",IF(COUNTA($I$2:$I$300)&lt;=1,0,PERCENTRANK.INC($I$2:$I$300,I6)))</f>
        <v/>
      </c>
      <c r="K6">
        <f>Input_Data!J6</f>
        <v/>
      </c>
      <c r="L6">
        <f>Input_Data!K6</f>
        <v/>
      </c>
      <c r="M6">
        <f>Input_Data!L6</f>
        <v/>
      </c>
      <c r="N6">
        <f>IF(K6="","",K6-L6)</f>
        <v/>
      </c>
      <c r="O6">
        <f>IF(A6="","",IF(ABS(M6-N6)&lt;=1,"OK","CHECK"))</f>
        <v/>
      </c>
      <c r="P6">
        <f>IF(M6="","",IF(F6=0,99,M6/F6))</f>
        <v/>
      </c>
      <c r="Q6" s="2">
        <f>IF(P6="","",IF(COUNTA($P$2:$P$300)&lt;=1,0,PERCENTRANK.INC($P$2:$P$300,P6)))</f>
        <v/>
      </c>
      <c r="R6" s="2">
        <f>IF(A6="","",0.45*H6+0.35*Q6+0.20*J6)</f>
        <v/>
      </c>
      <c r="S6">
        <f>IF(G6="","",IF(G6&lt;=0.33,"Low Movement",IF(G6&lt;=0.66,"Medium Movement","High Movement")))</f>
        <v/>
      </c>
      <c r="T6">
        <f>IF(R6="","",IF(R6&gt;=0.67,"High Value Bundle",IF(R6&gt;=0.34,"Medium Value Bundle","Low Value Bundle")))</f>
        <v/>
      </c>
      <c r="U6">
        <f>IF(A6="","",IF(AND(G6&gt;=0.70,J6&gt;=0.70,M6&gt;0),"Yes","No"))</f>
        <v/>
      </c>
      <c r="V6">
        <f>IF(A6="","",IF(AND(S6="Low Movement",M6&gt;0,P6&gt;=2),"Yes","No"))</f>
        <v/>
      </c>
      <c r="W6" s="2">
        <f>IF(T6="","",MIN(0.12,IF(T6="High Value Bundle",0.05,IF(T6="Medium Value Bundle",0.07,0.10))+IF(P6&gt;=8,0.02,0)))</f>
        <v/>
      </c>
      <c r="X6">
        <f>IF(U6="Yes",C6&amp;"|anchor","")</f>
        <v/>
      </c>
      <c r="Y6">
        <f>IF(U6="Yes",B6,"")</f>
        <v/>
      </c>
    </row>
    <row r="7">
      <c r="A7">
        <f>Input_Data!C7</f>
        <v/>
      </c>
      <c r="B7">
        <f>Input_Data!A7</f>
        <v/>
      </c>
      <c r="C7">
        <f>Input_Data!B7</f>
        <v/>
      </c>
      <c r="D7">
        <f>Input_Data!D7</f>
        <v/>
      </c>
      <c r="E7">
        <f>IF(A7="","",SUM(Input_Data!E7:H7))</f>
        <v/>
      </c>
      <c r="F7">
        <f>IF(E7="","",E7/4)</f>
        <v/>
      </c>
      <c r="G7" s="2">
        <f>IF(E7="","",IF(COUNTA($E$2:$E$300)&lt;=1,0,PERCENTRANK.INC($E$2:$E$300,E7)))</f>
        <v/>
      </c>
      <c r="H7" s="2">
        <f>IF(G7="","",1-G7)</f>
        <v/>
      </c>
      <c r="I7" s="2">
        <f>Input_Data!I7</f>
        <v/>
      </c>
      <c r="J7" s="2">
        <f>IF(I7="","",IF(COUNTA($I$2:$I$300)&lt;=1,0,PERCENTRANK.INC($I$2:$I$300,I7)))</f>
        <v/>
      </c>
      <c r="K7">
        <f>Input_Data!J7</f>
        <v/>
      </c>
      <c r="L7">
        <f>Input_Data!K7</f>
        <v/>
      </c>
      <c r="M7">
        <f>Input_Data!L7</f>
        <v/>
      </c>
      <c r="N7">
        <f>IF(K7="","",K7-L7)</f>
        <v/>
      </c>
      <c r="O7">
        <f>IF(A7="","",IF(ABS(M7-N7)&lt;=1,"OK","CHECK"))</f>
        <v/>
      </c>
      <c r="P7">
        <f>IF(M7="","",IF(F7=0,99,M7/F7))</f>
        <v/>
      </c>
      <c r="Q7" s="2">
        <f>IF(P7="","",IF(COUNTA($P$2:$P$300)&lt;=1,0,PERCENTRANK.INC($P$2:$P$300,P7)))</f>
        <v/>
      </c>
      <c r="R7" s="2">
        <f>IF(A7="","",0.45*H7+0.35*Q7+0.20*J7)</f>
        <v/>
      </c>
      <c r="S7">
        <f>IF(G7="","",IF(G7&lt;=0.33,"Low Movement",IF(G7&lt;=0.66,"Medium Movement","High Movement")))</f>
        <v/>
      </c>
      <c r="T7">
        <f>IF(R7="","",IF(R7&gt;=0.67,"High Value Bundle",IF(R7&gt;=0.34,"Medium Value Bundle","Low Value Bundle")))</f>
        <v/>
      </c>
      <c r="U7">
        <f>IF(A7="","",IF(AND(G7&gt;=0.70,J7&gt;=0.70,M7&gt;0),"Yes","No"))</f>
        <v/>
      </c>
      <c r="V7">
        <f>IF(A7="","",IF(AND(S7="Low Movement",M7&gt;0,P7&gt;=2),"Yes","No"))</f>
        <v/>
      </c>
      <c r="W7" s="2">
        <f>IF(T7="","",MIN(0.12,IF(T7="High Value Bundle",0.05,IF(T7="Medium Value Bundle",0.07,0.10))+IF(P7&gt;=8,0.02,0)))</f>
        <v/>
      </c>
      <c r="X7">
        <f>IF(U7="Yes",C7&amp;"|anchor","")</f>
        <v/>
      </c>
      <c r="Y7">
        <f>IF(U7="Yes",B7,"")</f>
        <v/>
      </c>
    </row>
    <row r="8">
      <c r="A8">
        <f>Input_Data!C8</f>
        <v/>
      </c>
      <c r="B8">
        <f>Input_Data!A8</f>
        <v/>
      </c>
      <c r="C8">
        <f>Input_Data!B8</f>
        <v/>
      </c>
      <c r="D8">
        <f>Input_Data!D8</f>
        <v/>
      </c>
      <c r="E8">
        <f>IF(A8="","",SUM(Input_Data!E8:H8))</f>
        <v/>
      </c>
      <c r="F8">
        <f>IF(E8="","",E8/4)</f>
        <v/>
      </c>
      <c r="G8" s="2">
        <f>IF(E8="","",IF(COUNTA($E$2:$E$300)&lt;=1,0,PERCENTRANK.INC($E$2:$E$300,E8)))</f>
        <v/>
      </c>
      <c r="H8" s="2">
        <f>IF(G8="","",1-G8)</f>
        <v/>
      </c>
      <c r="I8" s="2">
        <f>Input_Data!I8</f>
        <v/>
      </c>
      <c r="J8" s="2">
        <f>IF(I8="","",IF(COUNTA($I$2:$I$300)&lt;=1,0,PERCENTRANK.INC($I$2:$I$300,I8)))</f>
        <v/>
      </c>
      <c r="K8">
        <f>Input_Data!J8</f>
        <v/>
      </c>
      <c r="L8">
        <f>Input_Data!K8</f>
        <v/>
      </c>
      <c r="M8">
        <f>Input_Data!L8</f>
        <v/>
      </c>
      <c r="N8">
        <f>IF(K8="","",K8-L8)</f>
        <v/>
      </c>
      <c r="O8">
        <f>IF(A8="","",IF(ABS(M8-N8)&lt;=1,"OK","CHECK"))</f>
        <v/>
      </c>
      <c r="P8">
        <f>IF(M8="","",IF(F8=0,99,M8/F8))</f>
        <v/>
      </c>
      <c r="Q8" s="2">
        <f>IF(P8="","",IF(COUNTA($P$2:$P$300)&lt;=1,0,PERCENTRANK.INC($P$2:$P$300,P8)))</f>
        <v/>
      </c>
      <c r="R8" s="2">
        <f>IF(A8="","",0.45*H8+0.35*Q8+0.20*J8)</f>
        <v/>
      </c>
      <c r="S8">
        <f>IF(G8="","",IF(G8&lt;=0.33,"Low Movement",IF(G8&lt;=0.66,"Medium Movement","High Movement")))</f>
        <v/>
      </c>
      <c r="T8">
        <f>IF(R8="","",IF(R8&gt;=0.67,"High Value Bundle",IF(R8&gt;=0.34,"Medium Value Bundle","Low Value Bundle")))</f>
        <v/>
      </c>
      <c r="U8">
        <f>IF(A8="","",IF(AND(G8&gt;=0.70,J8&gt;=0.70,M8&gt;0),"Yes","No"))</f>
        <v/>
      </c>
      <c r="V8">
        <f>IF(A8="","",IF(AND(S8="Low Movement",M8&gt;0,P8&gt;=2),"Yes","No"))</f>
        <v/>
      </c>
      <c r="W8" s="2">
        <f>IF(T8="","",MIN(0.12,IF(T8="High Value Bundle",0.05,IF(T8="Medium Value Bundle",0.07,0.10))+IF(P8&gt;=8,0.02,0)))</f>
        <v/>
      </c>
      <c r="X8">
        <f>IF(U8="Yes",C8&amp;"|anchor","")</f>
        <v/>
      </c>
      <c r="Y8">
        <f>IF(U8="Yes",B8,"")</f>
        <v/>
      </c>
    </row>
    <row r="9">
      <c r="A9">
        <f>Input_Data!C9</f>
        <v/>
      </c>
      <c r="B9">
        <f>Input_Data!A9</f>
        <v/>
      </c>
      <c r="C9">
        <f>Input_Data!B9</f>
        <v/>
      </c>
      <c r="D9">
        <f>Input_Data!D9</f>
        <v/>
      </c>
      <c r="E9">
        <f>IF(A9="","",SUM(Input_Data!E9:H9))</f>
        <v/>
      </c>
      <c r="F9">
        <f>IF(E9="","",E9/4)</f>
        <v/>
      </c>
      <c r="G9" s="2">
        <f>IF(E9="","",IF(COUNTA($E$2:$E$300)&lt;=1,0,PERCENTRANK.INC($E$2:$E$300,E9)))</f>
        <v/>
      </c>
      <c r="H9" s="2">
        <f>IF(G9="","",1-G9)</f>
        <v/>
      </c>
      <c r="I9" s="2">
        <f>Input_Data!I9</f>
        <v/>
      </c>
      <c r="J9" s="2">
        <f>IF(I9="","",IF(COUNTA($I$2:$I$300)&lt;=1,0,PERCENTRANK.INC($I$2:$I$300,I9)))</f>
        <v/>
      </c>
      <c r="K9">
        <f>Input_Data!J9</f>
        <v/>
      </c>
      <c r="L9">
        <f>Input_Data!K9</f>
        <v/>
      </c>
      <c r="M9">
        <f>Input_Data!L9</f>
        <v/>
      </c>
      <c r="N9">
        <f>IF(K9="","",K9-L9)</f>
        <v/>
      </c>
      <c r="O9">
        <f>IF(A9="","",IF(ABS(M9-N9)&lt;=1,"OK","CHECK"))</f>
        <v/>
      </c>
      <c r="P9">
        <f>IF(M9="","",IF(F9=0,99,M9/F9))</f>
        <v/>
      </c>
      <c r="Q9" s="2">
        <f>IF(P9="","",IF(COUNTA($P$2:$P$300)&lt;=1,0,PERCENTRANK.INC($P$2:$P$300,P9)))</f>
        <v/>
      </c>
      <c r="R9" s="2">
        <f>IF(A9="","",0.45*H9+0.35*Q9+0.20*J9)</f>
        <v/>
      </c>
      <c r="S9">
        <f>IF(G9="","",IF(G9&lt;=0.33,"Low Movement",IF(G9&lt;=0.66,"Medium Movement","High Movement")))</f>
        <v/>
      </c>
      <c r="T9">
        <f>IF(R9="","",IF(R9&gt;=0.67,"High Value Bundle",IF(R9&gt;=0.34,"Medium Value Bundle","Low Value Bundle")))</f>
        <v/>
      </c>
      <c r="U9">
        <f>IF(A9="","",IF(AND(G9&gt;=0.70,J9&gt;=0.70,M9&gt;0),"Yes","No"))</f>
        <v/>
      </c>
      <c r="V9">
        <f>IF(A9="","",IF(AND(S9="Low Movement",M9&gt;0,P9&gt;=2),"Yes","No"))</f>
        <v/>
      </c>
      <c r="W9" s="2">
        <f>IF(T9="","",MIN(0.12,IF(T9="High Value Bundle",0.05,IF(T9="Medium Value Bundle",0.07,0.10))+IF(P9&gt;=8,0.02,0)))</f>
        <v/>
      </c>
      <c r="X9">
        <f>IF(U9="Yes",C9&amp;"|anchor","")</f>
        <v/>
      </c>
      <c r="Y9">
        <f>IF(U9="Yes",B9,"")</f>
        <v/>
      </c>
    </row>
    <row r="10">
      <c r="A10">
        <f>Input_Data!C10</f>
        <v/>
      </c>
      <c r="B10">
        <f>Input_Data!A10</f>
        <v/>
      </c>
      <c r="C10">
        <f>Input_Data!B10</f>
        <v/>
      </c>
      <c r="D10">
        <f>Input_Data!D10</f>
        <v/>
      </c>
      <c r="E10">
        <f>IF(A10="","",SUM(Input_Data!E10:H10))</f>
        <v/>
      </c>
      <c r="F10">
        <f>IF(E10="","",E10/4)</f>
        <v/>
      </c>
      <c r="G10" s="2">
        <f>IF(E10="","",IF(COUNTA($E$2:$E$300)&lt;=1,0,PERCENTRANK.INC($E$2:$E$300,E10)))</f>
        <v/>
      </c>
      <c r="H10" s="2">
        <f>IF(G10="","",1-G10)</f>
        <v/>
      </c>
      <c r="I10" s="2">
        <f>Input_Data!I10</f>
        <v/>
      </c>
      <c r="J10" s="2">
        <f>IF(I10="","",IF(COUNTA($I$2:$I$300)&lt;=1,0,PERCENTRANK.INC($I$2:$I$300,I10)))</f>
        <v/>
      </c>
      <c r="K10">
        <f>Input_Data!J10</f>
        <v/>
      </c>
      <c r="L10">
        <f>Input_Data!K10</f>
        <v/>
      </c>
      <c r="M10">
        <f>Input_Data!L10</f>
        <v/>
      </c>
      <c r="N10">
        <f>IF(K10="","",K10-L10)</f>
        <v/>
      </c>
      <c r="O10">
        <f>IF(A10="","",IF(ABS(M10-N10)&lt;=1,"OK","CHECK"))</f>
        <v/>
      </c>
      <c r="P10">
        <f>IF(M10="","",IF(F10=0,99,M10/F10))</f>
        <v/>
      </c>
      <c r="Q10" s="2">
        <f>IF(P10="","",IF(COUNTA($P$2:$P$300)&lt;=1,0,PERCENTRANK.INC($P$2:$P$300,P10)))</f>
        <v/>
      </c>
      <c r="R10" s="2">
        <f>IF(A10="","",0.45*H10+0.35*Q10+0.20*J10)</f>
        <v/>
      </c>
      <c r="S10">
        <f>IF(G10="","",IF(G10&lt;=0.33,"Low Movement",IF(G10&lt;=0.66,"Medium Movement","High Movement")))</f>
        <v/>
      </c>
      <c r="T10">
        <f>IF(R10="","",IF(R10&gt;=0.67,"High Value Bundle",IF(R10&gt;=0.34,"Medium Value Bundle","Low Value Bundle")))</f>
        <v/>
      </c>
      <c r="U10">
        <f>IF(A10="","",IF(AND(G10&gt;=0.70,J10&gt;=0.70,M10&gt;0),"Yes","No"))</f>
        <v/>
      </c>
      <c r="V10">
        <f>IF(A10="","",IF(AND(S10="Low Movement",M10&gt;0,P10&gt;=2),"Yes","No"))</f>
        <v/>
      </c>
      <c r="W10" s="2">
        <f>IF(T10="","",MIN(0.12,IF(T10="High Value Bundle",0.05,IF(T10="Medium Value Bundle",0.07,0.10))+IF(P10&gt;=8,0.02,0)))</f>
        <v/>
      </c>
      <c r="X10">
        <f>IF(U10="Yes",C10&amp;"|anchor","")</f>
        <v/>
      </c>
      <c r="Y10">
        <f>IF(U10="Yes",B10,"")</f>
        <v/>
      </c>
    </row>
    <row r="11">
      <c r="A11">
        <f>Input_Data!C11</f>
        <v/>
      </c>
      <c r="B11">
        <f>Input_Data!A11</f>
        <v/>
      </c>
      <c r="C11">
        <f>Input_Data!B11</f>
        <v/>
      </c>
      <c r="D11">
        <f>Input_Data!D11</f>
        <v/>
      </c>
      <c r="E11">
        <f>IF(A11="","",SUM(Input_Data!E11:H11))</f>
        <v/>
      </c>
      <c r="F11">
        <f>IF(E11="","",E11/4)</f>
        <v/>
      </c>
      <c r="G11" s="2">
        <f>IF(E11="","",IF(COUNTA($E$2:$E$300)&lt;=1,0,PERCENTRANK.INC($E$2:$E$300,E11)))</f>
        <v/>
      </c>
      <c r="H11" s="2">
        <f>IF(G11="","",1-G11)</f>
        <v/>
      </c>
      <c r="I11" s="2">
        <f>Input_Data!I11</f>
        <v/>
      </c>
      <c r="J11" s="2">
        <f>IF(I11="","",IF(COUNTA($I$2:$I$300)&lt;=1,0,PERCENTRANK.INC($I$2:$I$300,I11)))</f>
        <v/>
      </c>
      <c r="K11">
        <f>Input_Data!J11</f>
        <v/>
      </c>
      <c r="L11">
        <f>Input_Data!K11</f>
        <v/>
      </c>
      <c r="M11">
        <f>Input_Data!L11</f>
        <v/>
      </c>
      <c r="N11">
        <f>IF(K11="","",K11-L11)</f>
        <v/>
      </c>
      <c r="O11">
        <f>IF(A11="","",IF(ABS(M11-N11)&lt;=1,"OK","CHECK"))</f>
        <v/>
      </c>
      <c r="P11">
        <f>IF(M11="","",IF(F11=0,99,M11/F11))</f>
        <v/>
      </c>
      <c r="Q11" s="2">
        <f>IF(P11="","",IF(COUNTA($P$2:$P$300)&lt;=1,0,PERCENTRANK.INC($P$2:$P$300,P11)))</f>
        <v/>
      </c>
      <c r="R11" s="2">
        <f>IF(A11="","",0.45*H11+0.35*Q11+0.20*J11)</f>
        <v/>
      </c>
      <c r="S11">
        <f>IF(G11="","",IF(G11&lt;=0.33,"Low Movement",IF(G11&lt;=0.66,"Medium Movement","High Movement")))</f>
        <v/>
      </c>
      <c r="T11">
        <f>IF(R11="","",IF(R11&gt;=0.67,"High Value Bundle",IF(R11&gt;=0.34,"Medium Value Bundle","Low Value Bundle")))</f>
        <v/>
      </c>
      <c r="U11">
        <f>IF(A11="","",IF(AND(G11&gt;=0.70,J11&gt;=0.70,M11&gt;0),"Yes","No"))</f>
        <v/>
      </c>
      <c r="V11">
        <f>IF(A11="","",IF(AND(S11="Low Movement",M11&gt;0,P11&gt;=2),"Yes","No"))</f>
        <v/>
      </c>
      <c r="W11" s="2">
        <f>IF(T11="","",MIN(0.12,IF(T11="High Value Bundle",0.05,IF(T11="Medium Value Bundle",0.07,0.10))+IF(P11&gt;=8,0.02,0)))</f>
        <v/>
      </c>
      <c r="X11">
        <f>IF(U11="Yes",C11&amp;"|anchor","")</f>
        <v/>
      </c>
      <c r="Y11">
        <f>IF(U11="Yes",B11,"")</f>
        <v/>
      </c>
    </row>
    <row r="12">
      <c r="A12">
        <f>Input_Data!C12</f>
        <v/>
      </c>
      <c r="B12">
        <f>Input_Data!A12</f>
        <v/>
      </c>
      <c r="C12">
        <f>Input_Data!B12</f>
        <v/>
      </c>
      <c r="D12">
        <f>Input_Data!D12</f>
        <v/>
      </c>
      <c r="E12">
        <f>IF(A12="","",SUM(Input_Data!E12:H12))</f>
        <v/>
      </c>
      <c r="F12">
        <f>IF(E12="","",E12/4)</f>
        <v/>
      </c>
      <c r="G12" s="2">
        <f>IF(E12="","",IF(COUNTA($E$2:$E$300)&lt;=1,0,PERCENTRANK.INC($E$2:$E$300,E12)))</f>
        <v/>
      </c>
      <c r="H12" s="2">
        <f>IF(G12="","",1-G12)</f>
        <v/>
      </c>
      <c r="I12" s="2">
        <f>Input_Data!I12</f>
        <v/>
      </c>
      <c r="J12" s="2">
        <f>IF(I12="","",IF(COUNTA($I$2:$I$300)&lt;=1,0,PERCENTRANK.INC($I$2:$I$300,I12)))</f>
        <v/>
      </c>
      <c r="K12">
        <f>Input_Data!J12</f>
        <v/>
      </c>
      <c r="L12">
        <f>Input_Data!K12</f>
        <v/>
      </c>
      <c r="M12">
        <f>Input_Data!L12</f>
        <v/>
      </c>
      <c r="N12">
        <f>IF(K12="","",K12-L12)</f>
        <v/>
      </c>
      <c r="O12">
        <f>IF(A12="","",IF(ABS(M12-N12)&lt;=1,"OK","CHECK"))</f>
        <v/>
      </c>
      <c r="P12">
        <f>IF(M12="","",IF(F12=0,99,M12/F12))</f>
        <v/>
      </c>
      <c r="Q12" s="2">
        <f>IF(P12="","",IF(COUNTA($P$2:$P$300)&lt;=1,0,PERCENTRANK.INC($P$2:$P$300,P12)))</f>
        <v/>
      </c>
      <c r="R12" s="2">
        <f>IF(A12="","",0.45*H12+0.35*Q12+0.20*J12)</f>
        <v/>
      </c>
      <c r="S12">
        <f>IF(G12="","",IF(G12&lt;=0.33,"Low Movement",IF(G12&lt;=0.66,"Medium Movement","High Movement")))</f>
        <v/>
      </c>
      <c r="T12">
        <f>IF(R12="","",IF(R12&gt;=0.67,"High Value Bundle",IF(R12&gt;=0.34,"Medium Value Bundle","Low Value Bundle")))</f>
        <v/>
      </c>
      <c r="U12">
        <f>IF(A12="","",IF(AND(G12&gt;=0.70,J12&gt;=0.70,M12&gt;0),"Yes","No"))</f>
        <v/>
      </c>
      <c r="V12">
        <f>IF(A12="","",IF(AND(S12="Low Movement",M12&gt;0,P12&gt;=2),"Yes","No"))</f>
        <v/>
      </c>
      <c r="W12" s="2">
        <f>IF(T12="","",MIN(0.12,IF(T12="High Value Bundle",0.05,IF(T12="Medium Value Bundle",0.07,0.10))+IF(P12&gt;=8,0.02,0)))</f>
        <v/>
      </c>
      <c r="X12">
        <f>IF(U12="Yes",C12&amp;"|anchor","")</f>
        <v/>
      </c>
      <c r="Y12">
        <f>IF(U12="Yes",B12,"")</f>
        <v/>
      </c>
    </row>
    <row r="13">
      <c r="A13">
        <f>Input_Data!C13</f>
        <v/>
      </c>
      <c r="B13">
        <f>Input_Data!A13</f>
        <v/>
      </c>
      <c r="C13">
        <f>Input_Data!B13</f>
        <v/>
      </c>
      <c r="D13">
        <f>Input_Data!D13</f>
        <v/>
      </c>
      <c r="E13">
        <f>IF(A13="","",SUM(Input_Data!E13:H13))</f>
        <v/>
      </c>
      <c r="F13">
        <f>IF(E13="","",E13/4)</f>
        <v/>
      </c>
      <c r="G13" s="2">
        <f>IF(E13="","",IF(COUNTA($E$2:$E$300)&lt;=1,0,PERCENTRANK.INC($E$2:$E$300,E13)))</f>
        <v/>
      </c>
      <c r="H13" s="2">
        <f>IF(G13="","",1-G13)</f>
        <v/>
      </c>
      <c r="I13" s="2">
        <f>Input_Data!I13</f>
        <v/>
      </c>
      <c r="J13" s="2">
        <f>IF(I13="","",IF(COUNTA($I$2:$I$300)&lt;=1,0,PERCENTRANK.INC($I$2:$I$300,I13)))</f>
        <v/>
      </c>
      <c r="K13">
        <f>Input_Data!J13</f>
        <v/>
      </c>
      <c r="L13">
        <f>Input_Data!K13</f>
        <v/>
      </c>
      <c r="M13">
        <f>Input_Data!L13</f>
        <v/>
      </c>
      <c r="N13">
        <f>IF(K13="","",K13-L13)</f>
        <v/>
      </c>
      <c r="O13">
        <f>IF(A13="","",IF(ABS(M13-N13)&lt;=1,"OK","CHECK"))</f>
        <v/>
      </c>
      <c r="P13">
        <f>IF(M13="","",IF(F13=0,99,M13/F13))</f>
        <v/>
      </c>
      <c r="Q13" s="2">
        <f>IF(P13="","",IF(COUNTA($P$2:$P$300)&lt;=1,0,PERCENTRANK.INC($P$2:$P$300,P13)))</f>
        <v/>
      </c>
      <c r="R13" s="2">
        <f>IF(A13="","",0.45*H13+0.35*Q13+0.20*J13)</f>
        <v/>
      </c>
      <c r="S13">
        <f>IF(G13="","",IF(G13&lt;=0.33,"Low Movement",IF(G13&lt;=0.66,"Medium Movement","High Movement")))</f>
        <v/>
      </c>
      <c r="T13">
        <f>IF(R13="","",IF(R13&gt;=0.67,"High Value Bundle",IF(R13&gt;=0.34,"Medium Value Bundle","Low Value Bundle")))</f>
        <v/>
      </c>
      <c r="U13">
        <f>IF(A13="","",IF(AND(G13&gt;=0.70,J13&gt;=0.70,M13&gt;0),"Yes","No"))</f>
        <v/>
      </c>
      <c r="V13">
        <f>IF(A13="","",IF(AND(S13="Low Movement",M13&gt;0,P13&gt;=2),"Yes","No"))</f>
        <v/>
      </c>
      <c r="W13" s="2">
        <f>IF(T13="","",MIN(0.12,IF(T13="High Value Bundle",0.05,IF(T13="Medium Value Bundle",0.07,0.10))+IF(P13&gt;=8,0.02,0)))</f>
        <v/>
      </c>
      <c r="X13">
        <f>IF(U13="Yes",C13&amp;"|anchor","")</f>
        <v/>
      </c>
      <c r="Y13">
        <f>IF(U13="Yes",B13,"")</f>
        <v/>
      </c>
    </row>
    <row r="14">
      <c r="A14">
        <f>Input_Data!C14</f>
        <v/>
      </c>
      <c r="B14">
        <f>Input_Data!A14</f>
        <v/>
      </c>
      <c r="C14">
        <f>Input_Data!B14</f>
        <v/>
      </c>
      <c r="D14">
        <f>Input_Data!D14</f>
        <v/>
      </c>
      <c r="E14">
        <f>IF(A14="","",SUM(Input_Data!E14:H14))</f>
        <v/>
      </c>
      <c r="F14">
        <f>IF(E14="","",E14/4)</f>
        <v/>
      </c>
      <c r="G14" s="2">
        <f>IF(E14="","",IF(COUNTA($E$2:$E$300)&lt;=1,0,PERCENTRANK.INC($E$2:$E$300,E14)))</f>
        <v/>
      </c>
      <c r="H14" s="2">
        <f>IF(G14="","",1-G14)</f>
        <v/>
      </c>
      <c r="I14" s="2">
        <f>Input_Data!I14</f>
        <v/>
      </c>
      <c r="J14" s="2">
        <f>IF(I14="","",IF(COUNTA($I$2:$I$300)&lt;=1,0,PERCENTRANK.INC($I$2:$I$300,I14)))</f>
        <v/>
      </c>
      <c r="K14">
        <f>Input_Data!J14</f>
        <v/>
      </c>
      <c r="L14">
        <f>Input_Data!K14</f>
        <v/>
      </c>
      <c r="M14">
        <f>Input_Data!L14</f>
        <v/>
      </c>
      <c r="N14">
        <f>IF(K14="","",K14-L14)</f>
        <v/>
      </c>
      <c r="O14">
        <f>IF(A14="","",IF(ABS(M14-N14)&lt;=1,"OK","CHECK"))</f>
        <v/>
      </c>
      <c r="P14">
        <f>IF(M14="","",IF(F14=0,99,M14/F14))</f>
        <v/>
      </c>
      <c r="Q14" s="2">
        <f>IF(P14="","",IF(COUNTA($P$2:$P$300)&lt;=1,0,PERCENTRANK.INC($P$2:$P$300,P14)))</f>
        <v/>
      </c>
      <c r="R14" s="2">
        <f>IF(A14="","",0.45*H14+0.35*Q14+0.20*J14)</f>
        <v/>
      </c>
      <c r="S14">
        <f>IF(G14="","",IF(G14&lt;=0.33,"Low Movement",IF(G14&lt;=0.66,"Medium Movement","High Movement")))</f>
        <v/>
      </c>
      <c r="T14">
        <f>IF(R14="","",IF(R14&gt;=0.67,"High Value Bundle",IF(R14&gt;=0.34,"Medium Value Bundle","Low Value Bundle")))</f>
        <v/>
      </c>
      <c r="U14">
        <f>IF(A14="","",IF(AND(G14&gt;=0.70,J14&gt;=0.70,M14&gt;0),"Yes","No"))</f>
        <v/>
      </c>
      <c r="V14">
        <f>IF(A14="","",IF(AND(S14="Low Movement",M14&gt;0,P14&gt;=2),"Yes","No"))</f>
        <v/>
      </c>
      <c r="W14" s="2">
        <f>IF(T14="","",MIN(0.12,IF(T14="High Value Bundle",0.05,IF(T14="Medium Value Bundle",0.07,0.10))+IF(P14&gt;=8,0.02,0)))</f>
        <v/>
      </c>
      <c r="X14">
        <f>IF(U14="Yes",C14&amp;"|anchor","")</f>
        <v/>
      </c>
      <c r="Y14">
        <f>IF(U14="Yes",B14,"")</f>
        <v/>
      </c>
    </row>
    <row r="15">
      <c r="A15">
        <f>Input_Data!C15</f>
        <v/>
      </c>
      <c r="B15">
        <f>Input_Data!A15</f>
        <v/>
      </c>
      <c r="C15">
        <f>Input_Data!B15</f>
        <v/>
      </c>
      <c r="D15">
        <f>Input_Data!D15</f>
        <v/>
      </c>
      <c r="E15">
        <f>IF(A15="","",SUM(Input_Data!E15:H15))</f>
        <v/>
      </c>
      <c r="F15">
        <f>IF(E15="","",E15/4)</f>
        <v/>
      </c>
      <c r="G15" s="2">
        <f>IF(E15="","",IF(COUNTA($E$2:$E$300)&lt;=1,0,PERCENTRANK.INC($E$2:$E$300,E15)))</f>
        <v/>
      </c>
      <c r="H15" s="2">
        <f>IF(G15="","",1-G15)</f>
        <v/>
      </c>
      <c r="I15" s="2">
        <f>Input_Data!I15</f>
        <v/>
      </c>
      <c r="J15" s="2">
        <f>IF(I15="","",IF(COUNTA($I$2:$I$300)&lt;=1,0,PERCENTRANK.INC($I$2:$I$300,I15)))</f>
        <v/>
      </c>
      <c r="K15">
        <f>Input_Data!J15</f>
        <v/>
      </c>
      <c r="L15">
        <f>Input_Data!K15</f>
        <v/>
      </c>
      <c r="M15">
        <f>Input_Data!L15</f>
        <v/>
      </c>
      <c r="N15">
        <f>IF(K15="","",K15-L15)</f>
        <v/>
      </c>
      <c r="O15">
        <f>IF(A15="","",IF(ABS(M15-N15)&lt;=1,"OK","CHECK"))</f>
        <v/>
      </c>
      <c r="P15">
        <f>IF(M15="","",IF(F15=0,99,M15/F15))</f>
        <v/>
      </c>
      <c r="Q15" s="2">
        <f>IF(P15="","",IF(COUNTA($P$2:$P$300)&lt;=1,0,PERCENTRANK.INC($P$2:$P$300,P15)))</f>
        <v/>
      </c>
      <c r="R15" s="2">
        <f>IF(A15="","",0.45*H15+0.35*Q15+0.20*J15)</f>
        <v/>
      </c>
      <c r="S15">
        <f>IF(G15="","",IF(G15&lt;=0.33,"Low Movement",IF(G15&lt;=0.66,"Medium Movement","High Movement")))</f>
        <v/>
      </c>
      <c r="T15">
        <f>IF(R15="","",IF(R15&gt;=0.67,"High Value Bundle",IF(R15&gt;=0.34,"Medium Value Bundle","Low Value Bundle")))</f>
        <v/>
      </c>
      <c r="U15">
        <f>IF(A15="","",IF(AND(G15&gt;=0.70,J15&gt;=0.70,M15&gt;0),"Yes","No"))</f>
        <v/>
      </c>
      <c r="V15">
        <f>IF(A15="","",IF(AND(S15="Low Movement",M15&gt;0,P15&gt;=2),"Yes","No"))</f>
        <v/>
      </c>
      <c r="W15" s="2">
        <f>IF(T15="","",MIN(0.12,IF(T15="High Value Bundle",0.05,IF(T15="Medium Value Bundle",0.07,0.10))+IF(P15&gt;=8,0.02,0)))</f>
        <v/>
      </c>
      <c r="X15">
        <f>IF(U15="Yes",C15&amp;"|anchor","")</f>
        <v/>
      </c>
      <c r="Y15">
        <f>IF(U15="Yes",B15,"")</f>
        <v/>
      </c>
    </row>
    <row r="16">
      <c r="A16">
        <f>Input_Data!C16</f>
        <v/>
      </c>
      <c r="B16">
        <f>Input_Data!A16</f>
        <v/>
      </c>
      <c r="C16">
        <f>Input_Data!B16</f>
        <v/>
      </c>
      <c r="D16">
        <f>Input_Data!D16</f>
        <v/>
      </c>
      <c r="E16">
        <f>IF(A16="","",SUM(Input_Data!E16:H16))</f>
        <v/>
      </c>
      <c r="F16">
        <f>IF(E16="","",E16/4)</f>
        <v/>
      </c>
      <c r="G16" s="2">
        <f>IF(E16="","",IF(COUNTA($E$2:$E$300)&lt;=1,0,PERCENTRANK.INC($E$2:$E$300,E16)))</f>
        <v/>
      </c>
      <c r="H16" s="2">
        <f>IF(G16="","",1-G16)</f>
        <v/>
      </c>
      <c r="I16" s="2">
        <f>Input_Data!I16</f>
        <v/>
      </c>
      <c r="J16" s="2">
        <f>IF(I16="","",IF(COUNTA($I$2:$I$300)&lt;=1,0,PERCENTRANK.INC($I$2:$I$300,I16)))</f>
        <v/>
      </c>
      <c r="K16">
        <f>Input_Data!J16</f>
        <v/>
      </c>
      <c r="L16">
        <f>Input_Data!K16</f>
        <v/>
      </c>
      <c r="M16">
        <f>Input_Data!L16</f>
        <v/>
      </c>
      <c r="N16">
        <f>IF(K16="","",K16-L16)</f>
        <v/>
      </c>
      <c r="O16">
        <f>IF(A16="","",IF(ABS(M16-N16)&lt;=1,"OK","CHECK"))</f>
        <v/>
      </c>
      <c r="P16">
        <f>IF(M16="","",IF(F16=0,99,M16/F16))</f>
        <v/>
      </c>
      <c r="Q16" s="2">
        <f>IF(P16="","",IF(COUNTA($P$2:$P$300)&lt;=1,0,PERCENTRANK.INC($P$2:$P$300,P16)))</f>
        <v/>
      </c>
      <c r="R16" s="2">
        <f>IF(A16="","",0.45*H16+0.35*Q16+0.20*J16)</f>
        <v/>
      </c>
      <c r="S16">
        <f>IF(G16="","",IF(G16&lt;=0.33,"Low Movement",IF(G16&lt;=0.66,"Medium Movement","High Movement")))</f>
        <v/>
      </c>
      <c r="T16">
        <f>IF(R16="","",IF(R16&gt;=0.67,"High Value Bundle",IF(R16&gt;=0.34,"Medium Value Bundle","Low Value Bundle")))</f>
        <v/>
      </c>
      <c r="U16">
        <f>IF(A16="","",IF(AND(G16&gt;=0.70,J16&gt;=0.70,M16&gt;0),"Yes","No"))</f>
        <v/>
      </c>
      <c r="V16">
        <f>IF(A16="","",IF(AND(S16="Low Movement",M16&gt;0,P16&gt;=2),"Yes","No"))</f>
        <v/>
      </c>
      <c r="W16" s="2">
        <f>IF(T16="","",MIN(0.12,IF(T16="High Value Bundle",0.05,IF(T16="Medium Value Bundle",0.07,0.10))+IF(P16&gt;=8,0.02,0)))</f>
        <v/>
      </c>
      <c r="X16">
        <f>IF(U16="Yes",C16&amp;"|anchor","")</f>
        <v/>
      </c>
      <c r="Y16">
        <f>IF(U16="Yes",B16,"")</f>
        <v/>
      </c>
    </row>
    <row r="17">
      <c r="A17">
        <f>Input_Data!C17</f>
        <v/>
      </c>
      <c r="B17">
        <f>Input_Data!A17</f>
        <v/>
      </c>
      <c r="C17">
        <f>Input_Data!B17</f>
        <v/>
      </c>
      <c r="D17">
        <f>Input_Data!D17</f>
        <v/>
      </c>
      <c r="E17">
        <f>IF(A17="","",SUM(Input_Data!E17:H17))</f>
        <v/>
      </c>
      <c r="F17">
        <f>IF(E17="","",E17/4)</f>
        <v/>
      </c>
      <c r="G17" s="2">
        <f>IF(E17="","",IF(COUNTA($E$2:$E$300)&lt;=1,0,PERCENTRANK.INC($E$2:$E$300,E17)))</f>
        <v/>
      </c>
      <c r="H17" s="2">
        <f>IF(G17="","",1-G17)</f>
        <v/>
      </c>
      <c r="I17" s="2">
        <f>Input_Data!I17</f>
        <v/>
      </c>
      <c r="J17" s="2">
        <f>IF(I17="","",IF(COUNTA($I$2:$I$300)&lt;=1,0,PERCENTRANK.INC($I$2:$I$300,I17)))</f>
        <v/>
      </c>
      <c r="K17">
        <f>Input_Data!J17</f>
        <v/>
      </c>
      <c r="L17">
        <f>Input_Data!K17</f>
        <v/>
      </c>
      <c r="M17">
        <f>Input_Data!L17</f>
        <v/>
      </c>
      <c r="N17">
        <f>IF(K17="","",K17-L17)</f>
        <v/>
      </c>
      <c r="O17">
        <f>IF(A17="","",IF(ABS(M17-N17)&lt;=1,"OK","CHECK"))</f>
        <v/>
      </c>
      <c r="P17">
        <f>IF(M17="","",IF(F17=0,99,M17/F17))</f>
        <v/>
      </c>
      <c r="Q17" s="2">
        <f>IF(P17="","",IF(COUNTA($P$2:$P$300)&lt;=1,0,PERCENTRANK.INC($P$2:$P$300,P17)))</f>
        <v/>
      </c>
      <c r="R17" s="2">
        <f>IF(A17="","",0.45*H17+0.35*Q17+0.20*J17)</f>
        <v/>
      </c>
      <c r="S17">
        <f>IF(G17="","",IF(G17&lt;=0.33,"Low Movement",IF(G17&lt;=0.66,"Medium Movement","High Movement")))</f>
        <v/>
      </c>
      <c r="T17">
        <f>IF(R17="","",IF(R17&gt;=0.67,"High Value Bundle",IF(R17&gt;=0.34,"Medium Value Bundle","Low Value Bundle")))</f>
        <v/>
      </c>
      <c r="U17">
        <f>IF(A17="","",IF(AND(G17&gt;=0.70,J17&gt;=0.70,M17&gt;0),"Yes","No"))</f>
        <v/>
      </c>
      <c r="V17">
        <f>IF(A17="","",IF(AND(S17="Low Movement",M17&gt;0,P17&gt;=2),"Yes","No"))</f>
        <v/>
      </c>
      <c r="W17" s="2">
        <f>IF(T17="","",MIN(0.12,IF(T17="High Value Bundle",0.05,IF(T17="Medium Value Bundle",0.07,0.10))+IF(P17&gt;=8,0.02,0)))</f>
        <v/>
      </c>
      <c r="X17">
        <f>IF(U17="Yes",C17&amp;"|anchor","")</f>
        <v/>
      </c>
      <c r="Y17">
        <f>IF(U17="Yes",B17,"")</f>
        <v/>
      </c>
    </row>
    <row r="18">
      <c r="A18">
        <f>Input_Data!C18</f>
        <v/>
      </c>
      <c r="B18">
        <f>Input_Data!A18</f>
        <v/>
      </c>
      <c r="C18">
        <f>Input_Data!B18</f>
        <v/>
      </c>
      <c r="D18">
        <f>Input_Data!D18</f>
        <v/>
      </c>
      <c r="E18">
        <f>IF(A18="","",SUM(Input_Data!E18:H18))</f>
        <v/>
      </c>
      <c r="F18">
        <f>IF(E18="","",E18/4)</f>
        <v/>
      </c>
      <c r="G18" s="2">
        <f>IF(E18="","",IF(COUNTA($E$2:$E$300)&lt;=1,0,PERCENTRANK.INC($E$2:$E$300,E18)))</f>
        <v/>
      </c>
      <c r="H18" s="2">
        <f>IF(G18="","",1-G18)</f>
        <v/>
      </c>
      <c r="I18" s="2">
        <f>Input_Data!I18</f>
        <v/>
      </c>
      <c r="J18" s="2">
        <f>IF(I18="","",IF(COUNTA($I$2:$I$300)&lt;=1,0,PERCENTRANK.INC($I$2:$I$300,I18)))</f>
        <v/>
      </c>
      <c r="K18">
        <f>Input_Data!J18</f>
        <v/>
      </c>
      <c r="L18">
        <f>Input_Data!K18</f>
        <v/>
      </c>
      <c r="M18">
        <f>Input_Data!L18</f>
        <v/>
      </c>
      <c r="N18">
        <f>IF(K18="","",K18-L18)</f>
        <v/>
      </c>
      <c r="O18">
        <f>IF(A18="","",IF(ABS(M18-N18)&lt;=1,"OK","CHECK"))</f>
        <v/>
      </c>
      <c r="P18">
        <f>IF(M18="","",IF(F18=0,99,M18/F18))</f>
        <v/>
      </c>
      <c r="Q18" s="2">
        <f>IF(P18="","",IF(COUNTA($P$2:$P$300)&lt;=1,0,PERCENTRANK.INC($P$2:$P$300,P18)))</f>
        <v/>
      </c>
      <c r="R18" s="2">
        <f>IF(A18="","",0.45*H18+0.35*Q18+0.20*J18)</f>
        <v/>
      </c>
      <c r="S18">
        <f>IF(G18="","",IF(G18&lt;=0.33,"Low Movement",IF(G18&lt;=0.66,"Medium Movement","High Movement")))</f>
        <v/>
      </c>
      <c r="T18">
        <f>IF(R18="","",IF(R18&gt;=0.67,"High Value Bundle",IF(R18&gt;=0.34,"Medium Value Bundle","Low Value Bundle")))</f>
        <v/>
      </c>
      <c r="U18">
        <f>IF(A18="","",IF(AND(G18&gt;=0.70,J18&gt;=0.70,M18&gt;0),"Yes","No"))</f>
        <v/>
      </c>
      <c r="V18">
        <f>IF(A18="","",IF(AND(S18="Low Movement",M18&gt;0,P18&gt;=2),"Yes","No"))</f>
        <v/>
      </c>
      <c r="W18" s="2">
        <f>IF(T18="","",MIN(0.12,IF(T18="High Value Bundle",0.05,IF(T18="Medium Value Bundle",0.07,0.10))+IF(P18&gt;=8,0.02,0)))</f>
        <v/>
      </c>
      <c r="X18">
        <f>IF(U18="Yes",C18&amp;"|anchor","")</f>
        <v/>
      </c>
      <c r="Y18">
        <f>IF(U18="Yes",B18,"")</f>
        <v/>
      </c>
    </row>
    <row r="19">
      <c r="A19">
        <f>Input_Data!C19</f>
        <v/>
      </c>
      <c r="B19">
        <f>Input_Data!A19</f>
        <v/>
      </c>
      <c r="C19">
        <f>Input_Data!B19</f>
        <v/>
      </c>
      <c r="D19">
        <f>Input_Data!D19</f>
        <v/>
      </c>
      <c r="E19">
        <f>IF(A19="","",SUM(Input_Data!E19:H19))</f>
        <v/>
      </c>
      <c r="F19">
        <f>IF(E19="","",E19/4)</f>
        <v/>
      </c>
      <c r="G19" s="2">
        <f>IF(E19="","",IF(COUNTA($E$2:$E$300)&lt;=1,0,PERCENTRANK.INC($E$2:$E$300,E19)))</f>
        <v/>
      </c>
      <c r="H19" s="2">
        <f>IF(G19="","",1-G19)</f>
        <v/>
      </c>
      <c r="I19" s="2">
        <f>Input_Data!I19</f>
        <v/>
      </c>
      <c r="J19" s="2">
        <f>IF(I19="","",IF(COUNTA($I$2:$I$300)&lt;=1,0,PERCENTRANK.INC($I$2:$I$300,I19)))</f>
        <v/>
      </c>
      <c r="K19">
        <f>Input_Data!J19</f>
        <v/>
      </c>
      <c r="L19">
        <f>Input_Data!K19</f>
        <v/>
      </c>
      <c r="M19">
        <f>Input_Data!L19</f>
        <v/>
      </c>
      <c r="N19">
        <f>IF(K19="","",K19-L19)</f>
        <v/>
      </c>
      <c r="O19">
        <f>IF(A19="","",IF(ABS(M19-N19)&lt;=1,"OK","CHECK"))</f>
        <v/>
      </c>
      <c r="P19">
        <f>IF(M19="","",IF(F19=0,99,M19/F19))</f>
        <v/>
      </c>
      <c r="Q19" s="2">
        <f>IF(P19="","",IF(COUNTA($P$2:$P$300)&lt;=1,0,PERCENTRANK.INC($P$2:$P$300,P19)))</f>
        <v/>
      </c>
      <c r="R19" s="2">
        <f>IF(A19="","",0.45*H19+0.35*Q19+0.20*J19)</f>
        <v/>
      </c>
      <c r="S19">
        <f>IF(G19="","",IF(G19&lt;=0.33,"Low Movement",IF(G19&lt;=0.66,"Medium Movement","High Movement")))</f>
        <v/>
      </c>
      <c r="T19">
        <f>IF(R19="","",IF(R19&gt;=0.67,"High Value Bundle",IF(R19&gt;=0.34,"Medium Value Bundle","Low Value Bundle")))</f>
        <v/>
      </c>
      <c r="U19">
        <f>IF(A19="","",IF(AND(G19&gt;=0.70,J19&gt;=0.70,M19&gt;0),"Yes","No"))</f>
        <v/>
      </c>
      <c r="V19">
        <f>IF(A19="","",IF(AND(S19="Low Movement",M19&gt;0,P19&gt;=2),"Yes","No"))</f>
        <v/>
      </c>
      <c r="W19" s="2">
        <f>IF(T19="","",MIN(0.12,IF(T19="High Value Bundle",0.05,IF(T19="Medium Value Bundle",0.07,0.10))+IF(P19&gt;=8,0.02,0)))</f>
        <v/>
      </c>
      <c r="X19">
        <f>IF(U19="Yes",C19&amp;"|anchor","")</f>
        <v/>
      </c>
      <c r="Y19">
        <f>IF(U19="Yes",B19,"")</f>
        <v/>
      </c>
    </row>
    <row r="20">
      <c r="A20">
        <f>Input_Data!C20</f>
        <v/>
      </c>
      <c r="B20">
        <f>Input_Data!A20</f>
        <v/>
      </c>
      <c r="C20">
        <f>Input_Data!B20</f>
        <v/>
      </c>
      <c r="D20">
        <f>Input_Data!D20</f>
        <v/>
      </c>
      <c r="E20">
        <f>IF(A20="","",SUM(Input_Data!E20:H20))</f>
        <v/>
      </c>
      <c r="F20">
        <f>IF(E20="","",E20/4)</f>
        <v/>
      </c>
      <c r="G20" s="2">
        <f>IF(E20="","",IF(COUNTA($E$2:$E$300)&lt;=1,0,PERCENTRANK.INC($E$2:$E$300,E20)))</f>
        <v/>
      </c>
      <c r="H20" s="2">
        <f>IF(G20="","",1-G20)</f>
        <v/>
      </c>
      <c r="I20" s="2">
        <f>Input_Data!I20</f>
        <v/>
      </c>
      <c r="J20" s="2">
        <f>IF(I20="","",IF(COUNTA($I$2:$I$300)&lt;=1,0,PERCENTRANK.INC($I$2:$I$300,I20)))</f>
        <v/>
      </c>
      <c r="K20">
        <f>Input_Data!J20</f>
        <v/>
      </c>
      <c r="L20">
        <f>Input_Data!K20</f>
        <v/>
      </c>
      <c r="M20">
        <f>Input_Data!L20</f>
        <v/>
      </c>
      <c r="N20">
        <f>IF(K20="","",K20-L20)</f>
        <v/>
      </c>
      <c r="O20">
        <f>IF(A20="","",IF(ABS(M20-N20)&lt;=1,"OK","CHECK"))</f>
        <v/>
      </c>
      <c r="P20">
        <f>IF(M20="","",IF(F20=0,99,M20/F20))</f>
        <v/>
      </c>
      <c r="Q20" s="2">
        <f>IF(P20="","",IF(COUNTA($P$2:$P$300)&lt;=1,0,PERCENTRANK.INC($P$2:$P$300,P20)))</f>
        <v/>
      </c>
      <c r="R20" s="2">
        <f>IF(A20="","",0.45*H20+0.35*Q20+0.20*J20)</f>
        <v/>
      </c>
      <c r="S20">
        <f>IF(G20="","",IF(G20&lt;=0.33,"Low Movement",IF(G20&lt;=0.66,"Medium Movement","High Movement")))</f>
        <v/>
      </c>
      <c r="T20">
        <f>IF(R20="","",IF(R20&gt;=0.67,"High Value Bundle",IF(R20&gt;=0.34,"Medium Value Bundle","Low Value Bundle")))</f>
        <v/>
      </c>
      <c r="U20">
        <f>IF(A20="","",IF(AND(G20&gt;=0.70,J20&gt;=0.70,M20&gt;0),"Yes","No"))</f>
        <v/>
      </c>
      <c r="V20">
        <f>IF(A20="","",IF(AND(S20="Low Movement",M20&gt;0,P20&gt;=2),"Yes","No"))</f>
        <v/>
      </c>
      <c r="W20" s="2">
        <f>IF(T20="","",MIN(0.12,IF(T20="High Value Bundle",0.05,IF(T20="Medium Value Bundle",0.07,0.10))+IF(P20&gt;=8,0.02,0)))</f>
        <v/>
      </c>
      <c r="X20">
        <f>IF(U20="Yes",C20&amp;"|anchor","")</f>
        <v/>
      </c>
      <c r="Y20">
        <f>IF(U20="Yes",B20,"")</f>
        <v/>
      </c>
    </row>
    <row r="21">
      <c r="A21">
        <f>Input_Data!C21</f>
        <v/>
      </c>
      <c r="B21">
        <f>Input_Data!A21</f>
        <v/>
      </c>
      <c r="C21">
        <f>Input_Data!B21</f>
        <v/>
      </c>
      <c r="D21">
        <f>Input_Data!D21</f>
        <v/>
      </c>
      <c r="E21">
        <f>IF(A21="","",SUM(Input_Data!E21:H21))</f>
        <v/>
      </c>
      <c r="F21">
        <f>IF(E21="","",E21/4)</f>
        <v/>
      </c>
      <c r="G21" s="2">
        <f>IF(E21="","",IF(COUNTA($E$2:$E$300)&lt;=1,0,PERCENTRANK.INC($E$2:$E$300,E21)))</f>
        <v/>
      </c>
      <c r="H21" s="2">
        <f>IF(G21="","",1-G21)</f>
        <v/>
      </c>
      <c r="I21" s="2">
        <f>Input_Data!I21</f>
        <v/>
      </c>
      <c r="J21" s="2">
        <f>IF(I21="","",IF(COUNTA($I$2:$I$300)&lt;=1,0,PERCENTRANK.INC($I$2:$I$300,I21)))</f>
        <v/>
      </c>
      <c r="K21">
        <f>Input_Data!J21</f>
        <v/>
      </c>
      <c r="L21">
        <f>Input_Data!K21</f>
        <v/>
      </c>
      <c r="M21">
        <f>Input_Data!L21</f>
        <v/>
      </c>
      <c r="N21">
        <f>IF(K21="","",K21-L21)</f>
        <v/>
      </c>
      <c r="O21">
        <f>IF(A21="","",IF(ABS(M21-N21)&lt;=1,"OK","CHECK"))</f>
        <v/>
      </c>
      <c r="P21">
        <f>IF(M21="","",IF(F21=0,99,M21/F21))</f>
        <v/>
      </c>
      <c r="Q21" s="2">
        <f>IF(P21="","",IF(COUNTA($P$2:$P$300)&lt;=1,0,PERCENTRANK.INC($P$2:$P$300,P21)))</f>
        <v/>
      </c>
      <c r="R21" s="2">
        <f>IF(A21="","",0.45*H21+0.35*Q21+0.20*J21)</f>
        <v/>
      </c>
      <c r="S21">
        <f>IF(G21="","",IF(G21&lt;=0.33,"Low Movement",IF(G21&lt;=0.66,"Medium Movement","High Movement")))</f>
        <v/>
      </c>
      <c r="T21">
        <f>IF(R21="","",IF(R21&gt;=0.67,"High Value Bundle",IF(R21&gt;=0.34,"Medium Value Bundle","Low Value Bundle")))</f>
        <v/>
      </c>
      <c r="U21">
        <f>IF(A21="","",IF(AND(G21&gt;=0.70,J21&gt;=0.70,M21&gt;0),"Yes","No"))</f>
        <v/>
      </c>
      <c r="V21">
        <f>IF(A21="","",IF(AND(S21="Low Movement",M21&gt;0,P21&gt;=2),"Yes","No"))</f>
        <v/>
      </c>
      <c r="W21" s="2">
        <f>IF(T21="","",MIN(0.12,IF(T21="High Value Bundle",0.05,IF(T21="Medium Value Bundle",0.07,0.10))+IF(P21&gt;=8,0.02,0)))</f>
        <v/>
      </c>
      <c r="X21">
        <f>IF(U21="Yes",C21&amp;"|anchor","")</f>
        <v/>
      </c>
      <c r="Y21">
        <f>IF(U21="Yes",B21,"")</f>
        <v/>
      </c>
    </row>
    <row r="22">
      <c r="A22">
        <f>Input_Data!C22</f>
        <v/>
      </c>
      <c r="B22">
        <f>Input_Data!A22</f>
        <v/>
      </c>
      <c r="C22">
        <f>Input_Data!B22</f>
        <v/>
      </c>
      <c r="D22">
        <f>Input_Data!D22</f>
        <v/>
      </c>
      <c r="E22">
        <f>IF(A22="","",SUM(Input_Data!E22:H22))</f>
        <v/>
      </c>
      <c r="F22">
        <f>IF(E22="","",E22/4)</f>
        <v/>
      </c>
      <c r="G22" s="2">
        <f>IF(E22="","",IF(COUNTA($E$2:$E$300)&lt;=1,0,PERCENTRANK.INC($E$2:$E$300,E22)))</f>
        <v/>
      </c>
      <c r="H22" s="2">
        <f>IF(G22="","",1-G22)</f>
        <v/>
      </c>
      <c r="I22" s="2">
        <f>Input_Data!I22</f>
        <v/>
      </c>
      <c r="J22" s="2">
        <f>IF(I22="","",IF(COUNTA($I$2:$I$300)&lt;=1,0,PERCENTRANK.INC($I$2:$I$300,I22)))</f>
        <v/>
      </c>
      <c r="K22">
        <f>Input_Data!J22</f>
        <v/>
      </c>
      <c r="L22">
        <f>Input_Data!K22</f>
        <v/>
      </c>
      <c r="M22">
        <f>Input_Data!L22</f>
        <v/>
      </c>
      <c r="N22">
        <f>IF(K22="","",K22-L22)</f>
        <v/>
      </c>
      <c r="O22">
        <f>IF(A22="","",IF(ABS(M22-N22)&lt;=1,"OK","CHECK"))</f>
        <v/>
      </c>
      <c r="P22">
        <f>IF(M22="","",IF(F22=0,99,M22/F22))</f>
        <v/>
      </c>
      <c r="Q22" s="2">
        <f>IF(P22="","",IF(COUNTA($P$2:$P$300)&lt;=1,0,PERCENTRANK.INC($P$2:$P$300,P22)))</f>
        <v/>
      </c>
      <c r="R22" s="2">
        <f>IF(A22="","",0.45*H22+0.35*Q22+0.20*J22)</f>
        <v/>
      </c>
      <c r="S22">
        <f>IF(G22="","",IF(G22&lt;=0.33,"Low Movement",IF(G22&lt;=0.66,"Medium Movement","High Movement")))</f>
        <v/>
      </c>
      <c r="T22">
        <f>IF(R22="","",IF(R22&gt;=0.67,"High Value Bundle",IF(R22&gt;=0.34,"Medium Value Bundle","Low Value Bundle")))</f>
        <v/>
      </c>
      <c r="U22">
        <f>IF(A22="","",IF(AND(G22&gt;=0.70,J22&gt;=0.70,M22&gt;0),"Yes","No"))</f>
        <v/>
      </c>
      <c r="V22">
        <f>IF(A22="","",IF(AND(S22="Low Movement",M22&gt;0,P22&gt;=2),"Yes","No"))</f>
        <v/>
      </c>
      <c r="W22" s="2">
        <f>IF(T22="","",MIN(0.12,IF(T22="High Value Bundle",0.05,IF(T22="Medium Value Bundle",0.07,0.10))+IF(P22&gt;=8,0.02,0)))</f>
        <v/>
      </c>
      <c r="X22">
        <f>IF(U22="Yes",C22&amp;"|anchor","")</f>
        <v/>
      </c>
      <c r="Y22">
        <f>IF(U22="Yes",B22,"")</f>
        <v/>
      </c>
    </row>
    <row r="23">
      <c r="A23">
        <f>Input_Data!C23</f>
        <v/>
      </c>
      <c r="B23">
        <f>Input_Data!A23</f>
        <v/>
      </c>
      <c r="C23">
        <f>Input_Data!B23</f>
        <v/>
      </c>
      <c r="D23">
        <f>Input_Data!D23</f>
        <v/>
      </c>
      <c r="E23">
        <f>IF(A23="","",SUM(Input_Data!E23:H23))</f>
        <v/>
      </c>
      <c r="F23">
        <f>IF(E23="","",E23/4)</f>
        <v/>
      </c>
      <c r="G23" s="2">
        <f>IF(E23="","",IF(COUNTA($E$2:$E$300)&lt;=1,0,PERCENTRANK.INC($E$2:$E$300,E23)))</f>
        <v/>
      </c>
      <c r="H23" s="2">
        <f>IF(G23="","",1-G23)</f>
        <v/>
      </c>
      <c r="I23" s="2">
        <f>Input_Data!I23</f>
        <v/>
      </c>
      <c r="J23" s="2">
        <f>IF(I23="","",IF(COUNTA($I$2:$I$300)&lt;=1,0,PERCENTRANK.INC($I$2:$I$300,I23)))</f>
        <v/>
      </c>
      <c r="K23">
        <f>Input_Data!J23</f>
        <v/>
      </c>
      <c r="L23">
        <f>Input_Data!K23</f>
        <v/>
      </c>
      <c r="M23">
        <f>Input_Data!L23</f>
        <v/>
      </c>
      <c r="N23">
        <f>IF(K23="","",K23-L23)</f>
        <v/>
      </c>
      <c r="O23">
        <f>IF(A23="","",IF(ABS(M23-N23)&lt;=1,"OK","CHECK"))</f>
        <v/>
      </c>
      <c r="P23">
        <f>IF(M23="","",IF(F23=0,99,M23/F23))</f>
        <v/>
      </c>
      <c r="Q23" s="2">
        <f>IF(P23="","",IF(COUNTA($P$2:$P$300)&lt;=1,0,PERCENTRANK.INC($P$2:$P$300,P23)))</f>
        <v/>
      </c>
      <c r="R23" s="2">
        <f>IF(A23="","",0.45*H23+0.35*Q23+0.20*J23)</f>
        <v/>
      </c>
      <c r="S23">
        <f>IF(G23="","",IF(G23&lt;=0.33,"Low Movement",IF(G23&lt;=0.66,"Medium Movement","High Movement")))</f>
        <v/>
      </c>
      <c r="T23">
        <f>IF(R23="","",IF(R23&gt;=0.67,"High Value Bundle",IF(R23&gt;=0.34,"Medium Value Bundle","Low Value Bundle")))</f>
        <v/>
      </c>
      <c r="U23">
        <f>IF(A23="","",IF(AND(G23&gt;=0.70,J23&gt;=0.70,M23&gt;0),"Yes","No"))</f>
        <v/>
      </c>
      <c r="V23">
        <f>IF(A23="","",IF(AND(S23="Low Movement",M23&gt;0,P23&gt;=2),"Yes","No"))</f>
        <v/>
      </c>
      <c r="W23" s="2">
        <f>IF(T23="","",MIN(0.12,IF(T23="High Value Bundle",0.05,IF(T23="Medium Value Bundle",0.07,0.10))+IF(P23&gt;=8,0.02,0)))</f>
        <v/>
      </c>
      <c r="X23">
        <f>IF(U23="Yes",C23&amp;"|anchor","")</f>
        <v/>
      </c>
      <c r="Y23">
        <f>IF(U23="Yes",B23,"")</f>
        <v/>
      </c>
    </row>
    <row r="24">
      <c r="A24">
        <f>Input_Data!C24</f>
        <v/>
      </c>
      <c r="B24">
        <f>Input_Data!A24</f>
        <v/>
      </c>
      <c r="C24">
        <f>Input_Data!B24</f>
        <v/>
      </c>
      <c r="D24">
        <f>Input_Data!D24</f>
        <v/>
      </c>
      <c r="E24">
        <f>IF(A24="","",SUM(Input_Data!E24:H24))</f>
        <v/>
      </c>
      <c r="F24">
        <f>IF(E24="","",E24/4)</f>
        <v/>
      </c>
      <c r="G24" s="2">
        <f>IF(E24="","",IF(COUNTA($E$2:$E$300)&lt;=1,0,PERCENTRANK.INC($E$2:$E$300,E24)))</f>
        <v/>
      </c>
      <c r="H24" s="2">
        <f>IF(G24="","",1-G24)</f>
        <v/>
      </c>
      <c r="I24" s="2">
        <f>Input_Data!I24</f>
        <v/>
      </c>
      <c r="J24" s="2">
        <f>IF(I24="","",IF(COUNTA($I$2:$I$300)&lt;=1,0,PERCENTRANK.INC($I$2:$I$300,I24)))</f>
        <v/>
      </c>
      <c r="K24">
        <f>Input_Data!J24</f>
        <v/>
      </c>
      <c r="L24">
        <f>Input_Data!K24</f>
        <v/>
      </c>
      <c r="M24">
        <f>Input_Data!L24</f>
        <v/>
      </c>
      <c r="N24">
        <f>IF(K24="","",K24-L24)</f>
        <v/>
      </c>
      <c r="O24">
        <f>IF(A24="","",IF(ABS(M24-N24)&lt;=1,"OK","CHECK"))</f>
        <v/>
      </c>
      <c r="P24">
        <f>IF(M24="","",IF(F24=0,99,M24/F24))</f>
        <v/>
      </c>
      <c r="Q24" s="2">
        <f>IF(P24="","",IF(COUNTA($P$2:$P$300)&lt;=1,0,PERCENTRANK.INC($P$2:$P$300,P24)))</f>
        <v/>
      </c>
      <c r="R24" s="2">
        <f>IF(A24="","",0.45*H24+0.35*Q24+0.20*J24)</f>
        <v/>
      </c>
      <c r="S24">
        <f>IF(G24="","",IF(G24&lt;=0.33,"Low Movement",IF(G24&lt;=0.66,"Medium Movement","High Movement")))</f>
        <v/>
      </c>
      <c r="T24">
        <f>IF(R24="","",IF(R24&gt;=0.67,"High Value Bundle",IF(R24&gt;=0.34,"Medium Value Bundle","Low Value Bundle")))</f>
        <v/>
      </c>
      <c r="U24">
        <f>IF(A24="","",IF(AND(G24&gt;=0.70,J24&gt;=0.70,M24&gt;0),"Yes","No"))</f>
        <v/>
      </c>
      <c r="V24">
        <f>IF(A24="","",IF(AND(S24="Low Movement",M24&gt;0,P24&gt;=2),"Yes","No"))</f>
        <v/>
      </c>
      <c r="W24" s="2">
        <f>IF(T24="","",MIN(0.12,IF(T24="High Value Bundle",0.05,IF(T24="Medium Value Bundle",0.07,0.10))+IF(P24&gt;=8,0.02,0)))</f>
        <v/>
      </c>
      <c r="X24">
        <f>IF(U24="Yes",C24&amp;"|anchor","")</f>
        <v/>
      </c>
      <c r="Y24">
        <f>IF(U24="Yes",B24,"")</f>
        <v/>
      </c>
    </row>
    <row r="25">
      <c r="A25">
        <f>Input_Data!C25</f>
        <v/>
      </c>
      <c r="B25">
        <f>Input_Data!A25</f>
        <v/>
      </c>
      <c r="C25">
        <f>Input_Data!B25</f>
        <v/>
      </c>
      <c r="D25">
        <f>Input_Data!D25</f>
        <v/>
      </c>
      <c r="E25">
        <f>IF(A25="","",SUM(Input_Data!E25:H25))</f>
        <v/>
      </c>
      <c r="F25">
        <f>IF(E25="","",E25/4)</f>
        <v/>
      </c>
      <c r="G25" s="2">
        <f>IF(E25="","",IF(COUNTA($E$2:$E$300)&lt;=1,0,PERCENTRANK.INC($E$2:$E$300,E25)))</f>
        <v/>
      </c>
      <c r="H25" s="2">
        <f>IF(G25="","",1-G25)</f>
        <v/>
      </c>
      <c r="I25" s="2">
        <f>Input_Data!I25</f>
        <v/>
      </c>
      <c r="J25" s="2">
        <f>IF(I25="","",IF(COUNTA($I$2:$I$300)&lt;=1,0,PERCENTRANK.INC($I$2:$I$300,I25)))</f>
        <v/>
      </c>
      <c r="K25">
        <f>Input_Data!J25</f>
        <v/>
      </c>
      <c r="L25">
        <f>Input_Data!K25</f>
        <v/>
      </c>
      <c r="M25">
        <f>Input_Data!L25</f>
        <v/>
      </c>
      <c r="N25">
        <f>IF(K25="","",K25-L25)</f>
        <v/>
      </c>
      <c r="O25">
        <f>IF(A25="","",IF(ABS(M25-N25)&lt;=1,"OK","CHECK"))</f>
        <v/>
      </c>
      <c r="P25">
        <f>IF(M25="","",IF(F25=0,99,M25/F25))</f>
        <v/>
      </c>
      <c r="Q25" s="2">
        <f>IF(P25="","",IF(COUNTA($P$2:$P$300)&lt;=1,0,PERCENTRANK.INC($P$2:$P$300,P25)))</f>
        <v/>
      </c>
      <c r="R25" s="2">
        <f>IF(A25="","",0.45*H25+0.35*Q25+0.20*J25)</f>
        <v/>
      </c>
      <c r="S25">
        <f>IF(G25="","",IF(G25&lt;=0.33,"Low Movement",IF(G25&lt;=0.66,"Medium Movement","High Movement")))</f>
        <v/>
      </c>
      <c r="T25">
        <f>IF(R25="","",IF(R25&gt;=0.67,"High Value Bundle",IF(R25&gt;=0.34,"Medium Value Bundle","Low Value Bundle")))</f>
        <v/>
      </c>
      <c r="U25">
        <f>IF(A25="","",IF(AND(G25&gt;=0.70,J25&gt;=0.70,M25&gt;0),"Yes","No"))</f>
        <v/>
      </c>
      <c r="V25">
        <f>IF(A25="","",IF(AND(S25="Low Movement",M25&gt;0,P25&gt;=2),"Yes","No"))</f>
        <v/>
      </c>
      <c r="W25" s="2">
        <f>IF(T25="","",MIN(0.12,IF(T25="High Value Bundle",0.05,IF(T25="Medium Value Bundle",0.07,0.10))+IF(P25&gt;=8,0.02,0)))</f>
        <v/>
      </c>
      <c r="X25">
        <f>IF(U25="Yes",C25&amp;"|anchor","")</f>
        <v/>
      </c>
      <c r="Y25">
        <f>IF(U25="Yes",B25,"")</f>
        <v/>
      </c>
    </row>
    <row r="26">
      <c r="A26">
        <f>Input_Data!C26</f>
        <v/>
      </c>
      <c r="B26">
        <f>Input_Data!A26</f>
        <v/>
      </c>
      <c r="C26">
        <f>Input_Data!B26</f>
        <v/>
      </c>
      <c r="D26">
        <f>Input_Data!D26</f>
        <v/>
      </c>
      <c r="E26">
        <f>IF(A26="","",SUM(Input_Data!E26:H26))</f>
        <v/>
      </c>
      <c r="F26">
        <f>IF(E26="","",E26/4)</f>
        <v/>
      </c>
      <c r="G26" s="2">
        <f>IF(E26="","",IF(COUNTA($E$2:$E$300)&lt;=1,0,PERCENTRANK.INC($E$2:$E$300,E26)))</f>
        <v/>
      </c>
      <c r="H26" s="2">
        <f>IF(G26="","",1-G26)</f>
        <v/>
      </c>
      <c r="I26" s="2">
        <f>Input_Data!I26</f>
        <v/>
      </c>
      <c r="J26" s="2">
        <f>IF(I26="","",IF(COUNTA($I$2:$I$300)&lt;=1,0,PERCENTRANK.INC($I$2:$I$300,I26)))</f>
        <v/>
      </c>
      <c r="K26">
        <f>Input_Data!J26</f>
        <v/>
      </c>
      <c r="L26">
        <f>Input_Data!K26</f>
        <v/>
      </c>
      <c r="M26">
        <f>Input_Data!L26</f>
        <v/>
      </c>
      <c r="N26">
        <f>IF(K26="","",K26-L26)</f>
        <v/>
      </c>
      <c r="O26">
        <f>IF(A26="","",IF(ABS(M26-N26)&lt;=1,"OK","CHECK"))</f>
        <v/>
      </c>
      <c r="P26">
        <f>IF(M26="","",IF(F26=0,99,M26/F26))</f>
        <v/>
      </c>
      <c r="Q26" s="2">
        <f>IF(P26="","",IF(COUNTA($P$2:$P$300)&lt;=1,0,PERCENTRANK.INC($P$2:$P$300,P26)))</f>
        <v/>
      </c>
      <c r="R26" s="2">
        <f>IF(A26="","",0.45*H26+0.35*Q26+0.20*J26)</f>
        <v/>
      </c>
      <c r="S26">
        <f>IF(G26="","",IF(G26&lt;=0.33,"Low Movement",IF(G26&lt;=0.66,"Medium Movement","High Movement")))</f>
        <v/>
      </c>
      <c r="T26">
        <f>IF(R26="","",IF(R26&gt;=0.67,"High Value Bundle",IF(R26&gt;=0.34,"Medium Value Bundle","Low Value Bundle")))</f>
        <v/>
      </c>
      <c r="U26">
        <f>IF(A26="","",IF(AND(G26&gt;=0.70,J26&gt;=0.70,M26&gt;0),"Yes","No"))</f>
        <v/>
      </c>
      <c r="V26">
        <f>IF(A26="","",IF(AND(S26="Low Movement",M26&gt;0,P26&gt;=2),"Yes","No"))</f>
        <v/>
      </c>
      <c r="W26" s="2">
        <f>IF(T26="","",MIN(0.12,IF(T26="High Value Bundle",0.05,IF(T26="Medium Value Bundle",0.07,0.10))+IF(P26&gt;=8,0.02,0)))</f>
        <v/>
      </c>
      <c r="X26">
        <f>IF(U26="Yes",C26&amp;"|anchor","")</f>
        <v/>
      </c>
      <c r="Y26">
        <f>IF(U26="Yes",B26,"")</f>
        <v/>
      </c>
    </row>
    <row r="27">
      <c r="A27">
        <f>Input_Data!C27</f>
        <v/>
      </c>
      <c r="B27">
        <f>Input_Data!A27</f>
        <v/>
      </c>
      <c r="C27">
        <f>Input_Data!B27</f>
        <v/>
      </c>
      <c r="D27">
        <f>Input_Data!D27</f>
        <v/>
      </c>
      <c r="E27">
        <f>IF(A27="","",SUM(Input_Data!E27:H27))</f>
        <v/>
      </c>
      <c r="F27">
        <f>IF(E27="","",E27/4)</f>
        <v/>
      </c>
      <c r="G27" s="2">
        <f>IF(E27="","",IF(COUNTA($E$2:$E$300)&lt;=1,0,PERCENTRANK.INC($E$2:$E$300,E27)))</f>
        <v/>
      </c>
      <c r="H27" s="2">
        <f>IF(G27="","",1-G27)</f>
        <v/>
      </c>
      <c r="I27" s="2">
        <f>Input_Data!I27</f>
        <v/>
      </c>
      <c r="J27" s="2">
        <f>IF(I27="","",IF(COUNTA($I$2:$I$300)&lt;=1,0,PERCENTRANK.INC($I$2:$I$300,I27)))</f>
        <v/>
      </c>
      <c r="K27">
        <f>Input_Data!J27</f>
        <v/>
      </c>
      <c r="L27">
        <f>Input_Data!K27</f>
        <v/>
      </c>
      <c r="M27">
        <f>Input_Data!L27</f>
        <v/>
      </c>
      <c r="N27">
        <f>IF(K27="","",K27-L27)</f>
        <v/>
      </c>
      <c r="O27">
        <f>IF(A27="","",IF(ABS(M27-N27)&lt;=1,"OK","CHECK"))</f>
        <v/>
      </c>
      <c r="P27">
        <f>IF(M27="","",IF(F27=0,99,M27/F27))</f>
        <v/>
      </c>
      <c r="Q27" s="2">
        <f>IF(P27="","",IF(COUNTA($P$2:$P$300)&lt;=1,0,PERCENTRANK.INC($P$2:$P$300,P27)))</f>
        <v/>
      </c>
      <c r="R27" s="2">
        <f>IF(A27="","",0.45*H27+0.35*Q27+0.20*J27)</f>
        <v/>
      </c>
      <c r="S27">
        <f>IF(G27="","",IF(G27&lt;=0.33,"Low Movement",IF(G27&lt;=0.66,"Medium Movement","High Movement")))</f>
        <v/>
      </c>
      <c r="T27">
        <f>IF(R27="","",IF(R27&gt;=0.67,"High Value Bundle",IF(R27&gt;=0.34,"Medium Value Bundle","Low Value Bundle")))</f>
        <v/>
      </c>
      <c r="U27">
        <f>IF(A27="","",IF(AND(G27&gt;=0.70,J27&gt;=0.70,M27&gt;0),"Yes","No"))</f>
        <v/>
      </c>
      <c r="V27">
        <f>IF(A27="","",IF(AND(S27="Low Movement",M27&gt;0,P27&gt;=2),"Yes","No"))</f>
        <v/>
      </c>
      <c r="W27" s="2">
        <f>IF(T27="","",MIN(0.12,IF(T27="High Value Bundle",0.05,IF(T27="Medium Value Bundle",0.07,0.10))+IF(P27&gt;=8,0.02,0)))</f>
        <v/>
      </c>
      <c r="X27">
        <f>IF(U27="Yes",C27&amp;"|anchor","")</f>
        <v/>
      </c>
      <c r="Y27">
        <f>IF(U27="Yes",B27,"")</f>
        <v/>
      </c>
    </row>
    <row r="28">
      <c r="A28">
        <f>Input_Data!C28</f>
        <v/>
      </c>
      <c r="B28">
        <f>Input_Data!A28</f>
        <v/>
      </c>
      <c r="C28">
        <f>Input_Data!B28</f>
        <v/>
      </c>
      <c r="D28">
        <f>Input_Data!D28</f>
        <v/>
      </c>
      <c r="E28">
        <f>IF(A28="","",SUM(Input_Data!E28:H28))</f>
        <v/>
      </c>
      <c r="F28">
        <f>IF(E28="","",E28/4)</f>
        <v/>
      </c>
      <c r="G28" s="2">
        <f>IF(E28="","",IF(COUNTA($E$2:$E$300)&lt;=1,0,PERCENTRANK.INC($E$2:$E$300,E28)))</f>
        <v/>
      </c>
      <c r="H28" s="2">
        <f>IF(G28="","",1-G28)</f>
        <v/>
      </c>
      <c r="I28" s="2">
        <f>Input_Data!I28</f>
        <v/>
      </c>
      <c r="J28" s="2">
        <f>IF(I28="","",IF(COUNTA($I$2:$I$300)&lt;=1,0,PERCENTRANK.INC($I$2:$I$300,I28)))</f>
        <v/>
      </c>
      <c r="K28">
        <f>Input_Data!J28</f>
        <v/>
      </c>
      <c r="L28">
        <f>Input_Data!K28</f>
        <v/>
      </c>
      <c r="M28">
        <f>Input_Data!L28</f>
        <v/>
      </c>
      <c r="N28">
        <f>IF(K28="","",K28-L28)</f>
        <v/>
      </c>
      <c r="O28">
        <f>IF(A28="","",IF(ABS(M28-N28)&lt;=1,"OK","CHECK"))</f>
        <v/>
      </c>
      <c r="P28">
        <f>IF(M28="","",IF(F28=0,99,M28/F28))</f>
        <v/>
      </c>
      <c r="Q28" s="2">
        <f>IF(P28="","",IF(COUNTA($P$2:$P$300)&lt;=1,0,PERCENTRANK.INC($P$2:$P$300,P28)))</f>
        <v/>
      </c>
      <c r="R28" s="2">
        <f>IF(A28="","",0.45*H28+0.35*Q28+0.20*J28)</f>
        <v/>
      </c>
      <c r="S28">
        <f>IF(G28="","",IF(G28&lt;=0.33,"Low Movement",IF(G28&lt;=0.66,"Medium Movement","High Movement")))</f>
        <v/>
      </c>
      <c r="T28">
        <f>IF(R28="","",IF(R28&gt;=0.67,"High Value Bundle",IF(R28&gt;=0.34,"Medium Value Bundle","Low Value Bundle")))</f>
        <v/>
      </c>
      <c r="U28">
        <f>IF(A28="","",IF(AND(G28&gt;=0.70,J28&gt;=0.70,M28&gt;0),"Yes","No"))</f>
        <v/>
      </c>
      <c r="V28">
        <f>IF(A28="","",IF(AND(S28="Low Movement",M28&gt;0,P28&gt;=2),"Yes","No"))</f>
        <v/>
      </c>
      <c r="W28" s="2">
        <f>IF(T28="","",MIN(0.12,IF(T28="High Value Bundle",0.05,IF(T28="Medium Value Bundle",0.07,0.10))+IF(P28&gt;=8,0.02,0)))</f>
        <v/>
      </c>
      <c r="X28">
        <f>IF(U28="Yes",C28&amp;"|anchor","")</f>
        <v/>
      </c>
      <c r="Y28">
        <f>IF(U28="Yes",B28,"")</f>
        <v/>
      </c>
    </row>
    <row r="29">
      <c r="A29">
        <f>Input_Data!C29</f>
        <v/>
      </c>
      <c r="B29">
        <f>Input_Data!A29</f>
        <v/>
      </c>
      <c r="C29">
        <f>Input_Data!B29</f>
        <v/>
      </c>
      <c r="D29">
        <f>Input_Data!D29</f>
        <v/>
      </c>
      <c r="E29">
        <f>IF(A29="","",SUM(Input_Data!E29:H29))</f>
        <v/>
      </c>
      <c r="F29">
        <f>IF(E29="","",E29/4)</f>
        <v/>
      </c>
      <c r="G29" s="2">
        <f>IF(E29="","",IF(COUNTA($E$2:$E$300)&lt;=1,0,PERCENTRANK.INC($E$2:$E$300,E29)))</f>
        <v/>
      </c>
      <c r="H29" s="2">
        <f>IF(G29="","",1-G29)</f>
        <v/>
      </c>
      <c r="I29" s="2">
        <f>Input_Data!I29</f>
        <v/>
      </c>
      <c r="J29" s="2">
        <f>IF(I29="","",IF(COUNTA($I$2:$I$300)&lt;=1,0,PERCENTRANK.INC($I$2:$I$300,I29)))</f>
        <v/>
      </c>
      <c r="K29">
        <f>Input_Data!J29</f>
        <v/>
      </c>
      <c r="L29">
        <f>Input_Data!K29</f>
        <v/>
      </c>
      <c r="M29">
        <f>Input_Data!L29</f>
        <v/>
      </c>
      <c r="N29">
        <f>IF(K29="","",K29-L29)</f>
        <v/>
      </c>
      <c r="O29">
        <f>IF(A29="","",IF(ABS(M29-N29)&lt;=1,"OK","CHECK"))</f>
        <v/>
      </c>
      <c r="P29">
        <f>IF(M29="","",IF(F29=0,99,M29/F29))</f>
        <v/>
      </c>
      <c r="Q29" s="2">
        <f>IF(P29="","",IF(COUNTA($P$2:$P$300)&lt;=1,0,PERCENTRANK.INC($P$2:$P$300,P29)))</f>
        <v/>
      </c>
      <c r="R29" s="2">
        <f>IF(A29="","",0.45*H29+0.35*Q29+0.20*J29)</f>
        <v/>
      </c>
      <c r="S29">
        <f>IF(G29="","",IF(G29&lt;=0.33,"Low Movement",IF(G29&lt;=0.66,"Medium Movement","High Movement")))</f>
        <v/>
      </c>
      <c r="T29">
        <f>IF(R29="","",IF(R29&gt;=0.67,"High Value Bundle",IF(R29&gt;=0.34,"Medium Value Bundle","Low Value Bundle")))</f>
        <v/>
      </c>
      <c r="U29">
        <f>IF(A29="","",IF(AND(G29&gt;=0.70,J29&gt;=0.70,M29&gt;0),"Yes","No"))</f>
        <v/>
      </c>
      <c r="V29">
        <f>IF(A29="","",IF(AND(S29="Low Movement",M29&gt;0,P29&gt;=2),"Yes","No"))</f>
        <v/>
      </c>
      <c r="W29" s="2">
        <f>IF(T29="","",MIN(0.12,IF(T29="High Value Bundle",0.05,IF(T29="Medium Value Bundle",0.07,0.10))+IF(P29&gt;=8,0.02,0)))</f>
        <v/>
      </c>
      <c r="X29">
        <f>IF(U29="Yes",C29&amp;"|anchor","")</f>
        <v/>
      </c>
      <c r="Y29">
        <f>IF(U29="Yes",B29,"")</f>
        <v/>
      </c>
    </row>
    <row r="30">
      <c r="A30">
        <f>Input_Data!C30</f>
        <v/>
      </c>
      <c r="B30">
        <f>Input_Data!A30</f>
        <v/>
      </c>
      <c r="C30">
        <f>Input_Data!B30</f>
        <v/>
      </c>
      <c r="D30">
        <f>Input_Data!D30</f>
        <v/>
      </c>
      <c r="E30">
        <f>IF(A30="","",SUM(Input_Data!E30:H30))</f>
        <v/>
      </c>
      <c r="F30">
        <f>IF(E30="","",E30/4)</f>
        <v/>
      </c>
      <c r="G30" s="2">
        <f>IF(E30="","",IF(COUNTA($E$2:$E$300)&lt;=1,0,PERCENTRANK.INC($E$2:$E$300,E30)))</f>
        <v/>
      </c>
      <c r="H30" s="2">
        <f>IF(G30="","",1-G30)</f>
        <v/>
      </c>
      <c r="I30" s="2">
        <f>Input_Data!I30</f>
        <v/>
      </c>
      <c r="J30" s="2">
        <f>IF(I30="","",IF(COUNTA($I$2:$I$300)&lt;=1,0,PERCENTRANK.INC($I$2:$I$300,I30)))</f>
        <v/>
      </c>
      <c r="K30">
        <f>Input_Data!J30</f>
        <v/>
      </c>
      <c r="L30">
        <f>Input_Data!K30</f>
        <v/>
      </c>
      <c r="M30">
        <f>Input_Data!L30</f>
        <v/>
      </c>
      <c r="N30">
        <f>IF(K30="","",K30-L30)</f>
        <v/>
      </c>
      <c r="O30">
        <f>IF(A30="","",IF(ABS(M30-N30)&lt;=1,"OK","CHECK"))</f>
        <v/>
      </c>
      <c r="P30">
        <f>IF(M30="","",IF(F30=0,99,M30/F30))</f>
        <v/>
      </c>
      <c r="Q30" s="2">
        <f>IF(P30="","",IF(COUNTA($P$2:$P$300)&lt;=1,0,PERCENTRANK.INC($P$2:$P$300,P30)))</f>
        <v/>
      </c>
      <c r="R30" s="2">
        <f>IF(A30="","",0.45*H30+0.35*Q30+0.20*J30)</f>
        <v/>
      </c>
      <c r="S30">
        <f>IF(G30="","",IF(G30&lt;=0.33,"Low Movement",IF(G30&lt;=0.66,"Medium Movement","High Movement")))</f>
        <v/>
      </c>
      <c r="T30">
        <f>IF(R30="","",IF(R30&gt;=0.67,"High Value Bundle",IF(R30&gt;=0.34,"Medium Value Bundle","Low Value Bundle")))</f>
        <v/>
      </c>
      <c r="U30">
        <f>IF(A30="","",IF(AND(G30&gt;=0.70,J30&gt;=0.70,M30&gt;0),"Yes","No"))</f>
        <v/>
      </c>
      <c r="V30">
        <f>IF(A30="","",IF(AND(S30="Low Movement",M30&gt;0,P30&gt;=2),"Yes","No"))</f>
        <v/>
      </c>
      <c r="W30" s="2">
        <f>IF(T30="","",MIN(0.12,IF(T30="High Value Bundle",0.05,IF(T30="Medium Value Bundle",0.07,0.10))+IF(P30&gt;=8,0.02,0)))</f>
        <v/>
      </c>
      <c r="X30">
        <f>IF(U30="Yes",C30&amp;"|anchor","")</f>
        <v/>
      </c>
      <c r="Y30">
        <f>IF(U30="Yes",B30,"")</f>
        <v/>
      </c>
    </row>
    <row r="31">
      <c r="A31">
        <f>Input_Data!C31</f>
        <v/>
      </c>
      <c r="B31">
        <f>Input_Data!A31</f>
        <v/>
      </c>
      <c r="C31">
        <f>Input_Data!B31</f>
        <v/>
      </c>
      <c r="D31">
        <f>Input_Data!D31</f>
        <v/>
      </c>
      <c r="E31">
        <f>IF(A31="","",SUM(Input_Data!E31:H31))</f>
        <v/>
      </c>
      <c r="F31">
        <f>IF(E31="","",E31/4)</f>
        <v/>
      </c>
      <c r="G31" s="2">
        <f>IF(E31="","",IF(COUNTA($E$2:$E$300)&lt;=1,0,PERCENTRANK.INC($E$2:$E$300,E31)))</f>
        <v/>
      </c>
      <c r="H31" s="2">
        <f>IF(G31="","",1-G31)</f>
        <v/>
      </c>
      <c r="I31" s="2">
        <f>Input_Data!I31</f>
        <v/>
      </c>
      <c r="J31" s="2">
        <f>IF(I31="","",IF(COUNTA($I$2:$I$300)&lt;=1,0,PERCENTRANK.INC($I$2:$I$300,I31)))</f>
        <v/>
      </c>
      <c r="K31">
        <f>Input_Data!J31</f>
        <v/>
      </c>
      <c r="L31">
        <f>Input_Data!K31</f>
        <v/>
      </c>
      <c r="M31">
        <f>Input_Data!L31</f>
        <v/>
      </c>
      <c r="N31">
        <f>IF(K31="","",K31-L31)</f>
        <v/>
      </c>
      <c r="O31">
        <f>IF(A31="","",IF(ABS(M31-N31)&lt;=1,"OK","CHECK"))</f>
        <v/>
      </c>
      <c r="P31">
        <f>IF(M31="","",IF(F31=0,99,M31/F31))</f>
        <v/>
      </c>
      <c r="Q31" s="2">
        <f>IF(P31="","",IF(COUNTA($P$2:$P$300)&lt;=1,0,PERCENTRANK.INC($P$2:$P$300,P31)))</f>
        <v/>
      </c>
      <c r="R31" s="2">
        <f>IF(A31="","",0.45*H31+0.35*Q31+0.20*J31)</f>
        <v/>
      </c>
      <c r="S31">
        <f>IF(G31="","",IF(G31&lt;=0.33,"Low Movement",IF(G31&lt;=0.66,"Medium Movement","High Movement")))</f>
        <v/>
      </c>
      <c r="T31">
        <f>IF(R31="","",IF(R31&gt;=0.67,"High Value Bundle",IF(R31&gt;=0.34,"Medium Value Bundle","Low Value Bundle")))</f>
        <v/>
      </c>
      <c r="U31">
        <f>IF(A31="","",IF(AND(G31&gt;=0.70,J31&gt;=0.70,M31&gt;0),"Yes","No"))</f>
        <v/>
      </c>
      <c r="V31">
        <f>IF(A31="","",IF(AND(S31="Low Movement",M31&gt;0,P31&gt;=2),"Yes","No"))</f>
        <v/>
      </c>
      <c r="W31" s="2">
        <f>IF(T31="","",MIN(0.12,IF(T31="High Value Bundle",0.05,IF(T31="Medium Value Bundle",0.07,0.10))+IF(P31&gt;=8,0.02,0)))</f>
        <v/>
      </c>
      <c r="X31">
        <f>IF(U31="Yes",C31&amp;"|anchor","")</f>
        <v/>
      </c>
      <c r="Y31">
        <f>IF(U31="Yes",B31,"")</f>
        <v/>
      </c>
    </row>
    <row r="32">
      <c r="A32">
        <f>Input_Data!C32</f>
        <v/>
      </c>
      <c r="B32">
        <f>Input_Data!A32</f>
        <v/>
      </c>
      <c r="C32">
        <f>Input_Data!B32</f>
        <v/>
      </c>
      <c r="D32">
        <f>Input_Data!D32</f>
        <v/>
      </c>
      <c r="E32">
        <f>IF(A32="","",SUM(Input_Data!E32:H32))</f>
        <v/>
      </c>
      <c r="F32">
        <f>IF(E32="","",E32/4)</f>
        <v/>
      </c>
      <c r="G32" s="2">
        <f>IF(E32="","",IF(COUNTA($E$2:$E$300)&lt;=1,0,PERCENTRANK.INC($E$2:$E$300,E32)))</f>
        <v/>
      </c>
      <c r="H32" s="2">
        <f>IF(G32="","",1-G32)</f>
        <v/>
      </c>
      <c r="I32" s="2">
        <f>Input_Data!I32</f>
        <v/>
      </c>
      <c r="J32" s="2">
        <f>IF(I32="","",IF(COUNTA($I$2:$I$300)&lt;=1,0,PERCENTRANK.INC($I$2:$I$300,I32)))</f>
        <v/>
      </c>
      <c r="K32">
        <f>Input_Data!J32</f>
        <v/>
      </c>
      <c r="L32">
        <f>Input_Data!K32</f>
        <v/>
      </c>
      <c r="M32">
        <f>Input_Data!L32</f>
        <v/>
      </c>
      <c r="N32">
        <f>IF(K32="","",K32-L32)</f>
        <v/>
      </c>
      <c r="O32">
        <f>IF(A32="","",IF(ABS(M32-N32)&lt;=1,"OK","CHECK"))</f>
        <v/>
      </c>
      <c r="P32">
        <f>IF(M32="","",IF(F32=0,99,M32/F32))</f>
        <v/>
      </c>
      <c r="Q32" s="2">
        <f>IF(P32="","",IF(COUNTA($P$2:$P$300)&lt;=1,0,PERCENTRANK.INC($P$2:$P$300,P32)))</f>
        <v/>
      </c>
      <c r="R32" s="2">
        <f>IF(A32="","",0.45*H32+0.35*Q32+0.20*J32)</f>
        <v/>
      </c>
      <c r="S32">
        <f>IF(G32="","",IF(G32&lt;=0.33,"Low Movement",IF(G32&lt;=0.66,"Medium Movement","High Movement")))</f>
        <v/>
      </c>
      <c r="T32">
        <f>IF(R32="","",IF(R32&gt;=0.67,"High Value Bundle",IF(R32&gt;=0.34,"Medium Value Bundle","Low Value Bundle")))</f>
        <v/>
      </c>
      <c r="U32">
        <f>IF(A32="","",IF(AND(G32&gt;=0.70,J32&gt;=0.70,M32&gt;0),"Yes","No"))</f>
        <v/>
      </c>
      <c r="V32">
        <f>IF(A32="","",IF(AND(S32="Low Movement",M32&gt;0,P32&gt;=2),"Yes","No"))</f>
        <v/>
      </c>
      <c r="W32" s="2">
        <f>IF(T32="","",MIN(0.12,IF(T32="High Value Bundle",0.05,IF(T32="Medium Value Bundle",0.07,0.10))+IF(P32&gt;=8,0.02,0)))</f>
        <v/>
      </c>
      <c r="X32">
        <f>IF(U32="Yes",C32&amp;"|anchor","")</f>
        <v/>
      </c>
      <c r="Y32">
        <f>IF(U32="Yes",B32,"")</f>
        <v/>
      </c>
    </row>
    <row r="33">
      <c r="A33">
        <f>Input_Data!C33</f>
        <v/>
      </c>
      <c r="B33">
        <f>Input_Data!A33</f>
        <v/>
      </c>
      <c r="C33">
        <f>Input_Data!B33</f>
        <v/>
      </c>
      <c r="D33">
        <f>Input_Data!D33</f>
        <v/>
      </c>
      <c r="E33">
        <f>IF(A33="","",SUM(Input_Data!E33:H33))</f>
        <v/>
      </c>
      <c r="F33">
        <f>IF(E33="","",E33/4)</f>
        <v/>
      </c>
      <c r="G33" s="2">
        <f>IF(E33="","",IF(COUNTA($E$2:$E$300)&lt;=1,0,PERCENTRANK.INC($E$2:$E$300,E33)))</f>
        <v/>
      </c>
      <c r="H33" s="2">
        <f>IF(G33="","",1-G33)</f>
        <v/>
      </c>
      <c r="I33" s="2">
        <f>Input_Data!I33</f>
        <v/>
      </c>
      <c r="J33" s="2">
        <f>IF(I33="","",IF(COUNTA($I$2:$I$300)&lt;=1,0,PERCENTRANK.INC($I$2:$I$300,I33)))</f>
        <v/>
      </c>
      <c r="K33">
        <f>Input_Data!J33</f>
        <v/>
      </c>
      <c r="L33">
        <f>Input_Data!K33</f>
        <v/>
      </c>
      <c r="M33">
        <f>Input_Data!L33</f>
        <v/>
      </c>
      <c r="N33">
        <f>IF(K33="","",K33-L33)</f>
        <v/>
      </c>
      <c r="O33">
        <f>IF(A33="","",IF(ABS(M33-N33)&lt;=1,"OK","CHECK"))</f>
        <v/>
      </c>
      <c r="P33">
        <f>IF(M33="","",IF(F33=0,99,M33/F33))</f>
        <v/>
      </c>
      <c r="Q33" s="2">
        <f>IF(P33="","",IF(COUNTA($P$2:$P$300)&lt;=1,0,PERCENTRANK.INC($P$2:$P$300,P33)))</f>
        <v/>
      </c>
      <c r="R33" s="2">
        <f>IF(A33="","",0.45*H33+0.35*Q33+0.20*J33)</f>
        <v/>
      </c>
      <c r="S33">
        <f>IF(G33="","",IF(G33&lt;=0.33,"Low Movement",IF(G33&lt;=0.66,"Medium Movement","High Movement")))</f>
        <v/>
      </c>
      <c r="T33">
        <f>IF(R33="","",IF(R33&gt;=0.67,"High Value Bundle",IF(R33&gt;=0.34,"Medium Value Bundle","Low Value Bundle")))</f>
        <v/>
      </c>
      <c r="U33">
        <f>IF(A33="","",IF(AND(G33&gt;=0.70,J33&gt;=0.70,M33&gt;0),"Yes","No"))</f>
        <v/>
      </c>
      <c r="V33">
        <f>IF(A33="","",IF(AND(S33="Low Movement",M33&gt;0,P33&gt;=2),"Yes","No"))</f>
        <v/>
      </c>
      <c r="W33" s="2">
        <f>IF(T33="","",MIN(0.12,IF(T33="High Value Bundle",0.05,IF(T33="Medium Value Bundle",0.07,0.10))+IF(P33&gt;=8,0.02,0)))</f>
        <v/>
      </c>
      <c r="X33">
        <f>IF(U33="Yes",C33&amp;"|anchor","")</f>
        <v/>
      </c>
      <c r="Y33">
        <f>IF(U33="Yes",B33,"")</f>
        <v/>
      </c>
    </row>
    <row r="34">
      <c r="A34">
        <f>Input_Data!C34</f>
        <v/>
      </c>
      <c r="B34">
        <f>Input_Data!A34</f>
        <v/>
      </c>
      <c r="C34">
        <f>Input_Data!B34</f>
        <v/>
      </c>
      <c r="D34">
        <f>Input_Data!D34</f>
        <v/>
      </c>
      <c r="E34">
        <f>IF(A34="","",SUM(Input_Data!E34:H34))</f>
        <v/>
      </c>
      <c r="F34">
        <f>IF(E34="","",E34/4)</f>
        <v/>
      </c>
      <c r="G34" s="2">
        <f>IF(E34="","",IF(COUNTA($E$2:$E$300)&lt;=1,0,PERCENTRANK.INC($E$2:$E$300,E34)))</f>
        <v/>
      </c>
      <c r="H34" s="2">
        <f>IF(G34="","",1-G34)</f>
        <v/>
      </c>
      <c r="I34" s="2">
        <f>Input_Data!I34</f>
        <v/>
      </c>
      <c r="J34" s="2">
        <f>IF(I34="","",IF(COUNTA($I$2:$I$300)&lt;=1,0,PERCENTRANK.INC($I$2:$I$300,I34)))</f>
        <v/>
      </c>
      <c r="K34">
        <f>Input_Data!J34</f>
        <v/>
      </c>
      <c r="L34">
        <f>Input_Data!K34</f>
        <v/>
      </c>
      <c r="M34">
        <f>Input_Data!L34</f>
        <v/>
      </c>
      <c r="N34">
        <f>IF(K34="","",K34-L34)</f>
        <v/>
      </c>
      <c r="O34">
        <f>IF(A34="","",IF(ABS(M34-N34)&lt;=1,"OK","CHECK"))</f>
        <v/>
      </c>
      <c r="P34">
        <f>IF(M34="","",IF(F34=0,99,M34/F34))</f>
        <v/>
      </c>
      <c r="Q34" s="2">
        <f>IF(P34="","",IF(COUNTA($P$2:$P$300)&lt;=1,0,PERCENTRANK.INC($P$2:$P$300,P34)))</f>
        <v/>
      </c>
      <c r="R34" s="2">
        <f>IF(A34="","",0.45*H34+0.35*Q34+0.20*J34)</f>
        <v/>
      </c>
      <c r="S34">
        <f>IF(G34="","",IF(G34&lt;=0.33,"Low Movement",IF(G34&lt;=0.66,"Medium Movement","High Movement")))</f>
        <v/>
      </c>
      <c r="T34">
        <f>IF(R34="","",IF(R34&gt;=0.67,"High Value Bundle",IF(R34&gt;=0.34,"Medium Value Bundle","Low Value Bundle")))</f>
        <v/>
      </c>
      <c r="U34">
        <f>IF(A34="","",IF(AND(G34&gt;=0.70,J34&gt;=0.70,M34&gt;0),"Yes","No"))</f>
        <v/>
      </c>
      <c r="V34">
        <f>IF(A34="","",IF(AND(S34="Low Movement",M34&gt;0,P34&gt;=2),"Yes","No"))</f>
        <v/>
      </c>
      <c r="W34" s="2">
        <f>IF(T34="","",MIN(0.12,IF(T34="High Value Bundle",0.05,IF(T34="Medium Value Bundle",0.07,0.10))+IF(P34&gt;=8,0.02,0)))</f>
        <v/>
      </c>
      <c r="X34">
        <f>IF(U34="Yes",C34&amp;"|anchor","")</f>
        <v/>
      </c>
      <c r="Y34">
        <f>IF(U34="Yes",B34,"")</f>
        <v/>
      </c>
    </row>
    <row r="35">
      <c r="A35">
        <f>Input_Data!C35</f>
        <v/>
      </c>
      <c r="B35">
        <f>Input_Data!A35</f>
        <v/>
      </c>
      <c r="C35">
        <f>Input_Data!B35</f>
        <v/>
      </c>
      <c r="D35">
        <f>Input_Data!D35</f>
        <v/>
      </c>
      <c r="E35">
        <f>IF(A35="","",SUM(Input_Data!E35:H35))</f>
        <v/>
      </c>
      <c r="F35">
        <f>IF(E35="","",E35/4)</f>
        <v/>
      </c>
      <c r="G35" s="2">
        <f>IF(E35="","",IF(COUNTA($E$2:$E$300)&lt;=1,0,PERCENTRANK.INC($E$2:$E$300,E35)))</f>
        <v/>
      </c>
      <c r="H35" s="2">
        <f>IF(G35="","",1-G35)</f>
        <v/>
      </c>
      <c r="I35" s="2">
        <f>Input_Data!I35</f>
        <v/>
      </c>
      <c r="J35" s="2">
        <f>IF(I35="","",IF(COUNTA($I$2:$I$300)&lt;=1,0,PERCENTRANK.INC($I$2:$I$300,I35)))</f>
        <v/>
      </c>
      <c r="K35">
        <f>Input_Data!J35</f>
        <v/>
      </c>
      <c r="L35">
        <f>Input_Data!K35</f>
        <v/>
      </c>
      <c r="M35">
        <f>Input_Data!L35</f>
        <v/>
      </c>
      <c r="N35">
        <f>IF(K35="","",K35-L35)</f>
        <v/>
      </c>
      <c r="O35">
        <f>IF(A35="","",IF(ABS(M35-N35)&lt;=1,"OK","CHECK"))</f>
        <v/>
      </c>
      <c r="P35">
        <f>IF(M35="","",IF(F35=0,99,M35/F35))</f>
        <v/>
      </c>
      <c r="Q35" s="2">
        <f>IF(P35="","",IF(COUNTA($P$2:$P$300)&lt;=1,0,PERCENTRANK.INC($P$2:$P$300,P35)))</f>
        <v/>
      </c>
      <c r="R35" s="2">
        <f>IF(A35="","",0.45*H35+0.35*Q35+0.20*J35)</f>
        <v/>
      </c>
      <c r="S35">
        <f>IF(G35="","",IF(G35&lt;=0.33,"Low Movement",IF(G35&lt;=0.66,"Medium Movement","High Movement")))</f>
        <v/>
      </c>
      <c r="T35">
        <f>IF(R35="","",IF(R35&gt;=0.67,"High Value Bundle",IF(R35&gt;=0.34,"Medium Value Bundle","Low Value Bundle")))</f>
        <v/>
      </c>
      <c r="U35">
        <f>IF(A35="","",IF(AND(G35&gt;=0.70,J35&gt;=0.70,M35&gt;0),"Yes","No"))</f>
        <v/>
      </c>
      <c r="V35">
        <f>IF(A35="","",IF(AND(S35="Low Movement",M35&gt;0,P35&gt;=2),"Yes","No"))</f>
        <v/>
      </c>
      <c r="W35" s="2">
        <f>IF(T35="","",MIN(0.12,IF(T35="High Value Bundle",0.05,IF(T35="Medium Value Bundle",0.07,0.10))+IF(P35&gt;=8,0.02,0)))</f>
        <v/>
      </c>
      <c r="X35">
        <f>IF(U35="Yes",C35&amp;"|anchor","")</f>
        <v/>
      </c>
      <c r="Y35">
        <f>IF(U35="Yes",B35,"")</f>
        <v/>
      </c>
    </row>
    <row r="36">
      <c r="A36">
        <f>Input_Data!C36</f>
        <v/>
      </c>
      <c r="B36">
        <f>Input_Data!A36</f>
        <v/>
      </c>
      <c r="C36">
        <f>Input_Data!B36</f>
        <v/>
      </c>
      <c r="D36">
        <f>Input_Data!D36</f>
        <v/>
      </c>
      <c r="E36">
        <f>IF(A36="","",SUM(Input_Data!E36:H36))</f>
        <v/>
      </c>
      <c r="F36">
        <f>IF(E36="","",E36/4)</f>
        <v/>
      </c>
      <c r="G36" s="2">
        <f>IF(E36="","",IF(COUNTA($E$2:$E$300)&lt;=1,0,PERCENTRANK.INC($E$2:$E$300,E36)))</f>
        <v/>
      </c>
      <c r="H36" s="2">
        <f>IF(G36="","",1-G36)</f>
        <v/>
      </c>
      <c r="I36" s="2">
        <f>Input_Data!I36</f>
        <v/>
      </c>
      <c r="J36" s="2">
        <f>IF(I36="","",IF(COUNTA($I$2:$I$300)&lt;=1,0,PERCENTRANK.INC($I$2:$I$300,I36)))</f>
        <v/>
      </c>
      <c r="K36">
        <f>Input_Data!J36</f>
        <v/>
      </c>
      <c r="L36">
        <f>Input_Data!K36</f>
        <v/>
      </c>
      <c r="M36">
        <f>Input_Data!L36</f>
        <v/>
      </c>
      <c r="N36">
        <f>IF(K36="","",K36-L36)</f>
        <v/>
      </c>
      <c r="O36">
        <f>IF(A36="","",IF(ABS(M36-N36)&lt;=1,"OK","CHECK"))</f>
        <v/>
      </c>
      <c r="P36">
        <f>IF(M36="","",IF(F36=0,99,M36/F36))</f>
        <v/>
      </c>
      <c r="Q36" s="2">
        <f>IF(P36="","",IF(COUNTA($P$2:$P$300)&lt;=1,0,PERCENTRANK.INC($P$2:$P$300,P36)))</f>
        <v/>
      </c>
      <c r="R36" s="2">
        <f>IF(A36="","",0.45*H36+0.35*Q36+0.20*J36)</f>
        <v/>
      </c>
      <c r="S36">
        <f>IF(G36="","",IF(G36&lt;=0.33,"Low Movement",IF(G36&lt;=0.66,"Medium Movement","High Movement")))</f>
        <v/>
      </c>
      <c r="T36">
        <f>IF(R36="","",IF(R36&gt;=0.67,"High Value Bundle",IF(R36&gt;=0.34,"Medium Value Bundle","Low Value Bundle")))</f>
        <v/>
      </c>
      <c r="U36">
        <f>IF(A36="","",IF(AND(G36&gt;=0.70,J36&gt;=0.70,M36&gt;0),"Yes","No"))</f>
        <v/>
      </c>
      <c r="V36">
        <f>IF(A36="","",IF(AND(S36="Low Movement",M36&gt;0,P36&gt;=2),"Yes","No"))</f>
        <v/>
      </c>
      <c r="W36" s="2">
        <f>IF(T36="","",MIN(0.12,IF(T36="High Value Bundle",0.05,IF(T36="Medium Value Bundle",0.07,0.10))+IF(P36&gt;=8,0.02,0)))</f>
        <v/>
      </c>
      <c r="X36">
        <f>IF(U36="Yes",C36&amp;"|anchor","")</f>
        <v/>
      </c>
      <c r="Y36">
        <f>IF(U36="Yes",B36,"")</f>
        <v/>
      </c>
    </row>
    <row r="37">
      <c r="A37">
        <f>Input_Data!C37</f>
        <v/>
      </c>
      <c r="B37">
        <f>Input_Data!A37</f>
        <v/>
      </c>
      <c r="C37">
        <f>Input_Data!B37</f>
        <v/>
      </c>
      <c r="D37">
        <f>Input_Data!D37</f>
        <v/>
      </c>
      <c r="E37">
        <f>IF(A37="","",SUM(Input_Data!E37:H37))</f>
        <v/>
      </c>
      <c r="F37">
        <f>IF(E37="","",E37/4)</f>
        <v/>
      </c>
      <c r="G37" s="2">
        <f>IF(E37="","",IF(COUNTA($E$2:$E$300)&lt;=1,0,PERCENTRANK.INC($E$2:$E$300,E37)))</f>
        <v/>
      </c>
      <c r="H37" s="2">
        <f>IF(G37="","",1-G37)</f>
        <v/>
      </c>
      <c r="I37" s="2">
        <f>Input_Data!I37</f>
        <v/>
      </c>
      <c r="J37" s="2">
        <f>IF(I37="","",IF(COUNTA($I$2:$I$300)&lt;=1,0,PERCENTRANK.INC($I$2:$I$300,I37)))</f>
        <v/>
      </c>
      <c r="K37">
        <f>Input_Data!J37</f>
        <v/>
      </c>
      <c r="L37">
        <f>Input_Data!K37</f>
        <v/>
      </c>
      <c r="M37">
        <f>Input_Data!L37</f>
        <v/>
      </c>
      <c r="N37">
        <f>IF(K37="","",K37-L37)</f>
        <v/>
      </c>
      <c r="O37">
        <f>IF(A37="","",IF(ABS(M37-N37)&lt;=1,"OK","CHECK"))</f>
        <v/>
      </c>
      <c r="P37">
        <f>IF(M37="","",IF(F37=0,99,M37/F37))</f>
        <v/>
      </c>
      <c r="Q37" s="2">
        <f>IF(P37="","",IF(COUNTA($P$2:$P$300)&lt;=1,0,PERCENTRANK.INC($P$2:$P$300,P37)))</f>
        <v/>
      </c>
      <c r="R37" s="2">
        <f>IF(A37="","",0.45*H37+0.35*Q37+0.20*J37)</f>
        <v/>
      </c>
      <c r="S37">
        <f>IF(G37="","",IF(G37&lt;=0.33,"Low Movement",IF(G37&lt;=0.66,"Medium Movement","High Movement")))</f>
        <v/>
      </c>
      <c r="T37">
        <f>IF(R37="","",IF(R37&gt;=0.67,"High Value Bundle",IF(R37&gt;=0.34,"Medium Value Bundle","Low Value Bundle")))</f>
        <v/>
      </c>
      <c r="U37">
        <f>IF(A37="","",IF(AND(G37&gt;=0.70,J37&gt;=0.70,M37&gt;0),"Yes","No"))</f>
        <v/>
      </c>
      <c r="V37">
        <f>IF(A37="","",IF(AND(S37="Low Movement",M37&gt;0,P37&gt;=2),"Yes","No"))</f>
        <v/>
      </c>
      <c r="W37" s="2">
        <f>IF(T37="","",MIN(0.12,IF(T37="High Value Bundle",0.05,IF(T37="Medium Value Bundle",0.07,0.10))+IF(P37&gt;=8,0.02,0)))</f>
        <v/>
      </c>
      <c r="X37">
        <f>IF(U37="Yes",C37&amp;"|anchor","")</f>
        <v/>
      </c>
      <c r="Y37">
        <f>IF(U37="Yes",B37,"")</f>
        <v/>
      </c>
    </row>
    <row r="38">
      <c r="A38">
        <f>Input_Data!C38</f>
        <v/>
      </c>
      <c r="B38">
        <f>Input_Data!A38</f>
        <v/>
      </c>
      <c r="C38">
        <f>Input_Data!B38</f>
        <v/>
      </c>
      <c r="D38">
        <f>Input_Data!D38</f>
        <v/>
      </c>
      <c r="E38">
        <f>IF(A38="","",SUM(Input_Data!E38:H38))</f>
        <v/>
      </c>
      <c r="F38">
        <f>IF(E38="","",E38/4)</f>
        <v/>
      </c>
      <c r="G38" s="2">
        <f>IF(E38="","",IF(COUNTA($E$2:$E$300)&lt;=1,0,PERCENTRANK.INC($E$2:$E$300,E38)))</f>
        <v/>
      </c>
      <c r="H38" s="2">
        <f>IF(G38="","",1-G38)</f>
        <v/>
      </c>
      <c r="I38" s="2">
        <f>Input_Data!I38</f>
        <v/>
      </c>
      <c r="J38" s="2">
        <f>IF(I38="","",IF(COUNTA($I$2:$I$300)&lt;=1,0,PERCENTRANK.INC($I$2:$I$300,I38)))</f>
        <v/>
      </c>
      <c r="K38">
        <f>Input_Data!J38</f>
        <v/>
      </c>
      <c r="L38">
        <f>Input_Data!K38</f>
        <v/>
      </c>
      <c r="M38">
        <f>Input_Data!L38</f>
        <v/>
      </c>
      <c r="N38">
        <f>IF(K38="","",K38-L38)</f>
        <v/>
      </c>
      <c r="O38">
        <f>IF(A38="","",IF(ABS(M38-N38)&lt;=1,"OK","CHECK"))</f>
        <v/>
      </c>
      <c r="P38">
        <f>IF(M38="","",IF(F38=0,99,M38/F38))</f>
        <v/>
      </c>
      <c r="Q38" s="2">
        <f>IF(P38="","",IF(COUNTA($P$2:$P$300)&lt;=1,0,PERCENTRANK.INC($P$2:$P$300,P38)))</f>
        <v/>
      </c>
      <c r="R38" s="2">
        <f>IF(A38="","",0.45*H38+0.35*Q38+0.20*J38)</f>
        <v/>
      </c>
      <c r="S38">
        <f>IF(G38="","",IF(G38&lt;=0.33,"Low Movement",IF(G38&lt;=0.66,"Medium Movement","High Movement")))</f>
        <v/>
      </c>
      <c r="T38">
        <f>IF(R38="","",IF(R38&gt;=0.67,"High Value Bundle",IF(R38&gt;=0.34,"Medium Value Bundle","Low Value Bundle")))</f>
        <v/>
      </c>
      <c r="U38">
        <f>IF(A38="","",IF(AND(G38&gt;=0.70,J38&gt;=0.70,M38&gt;0),"Yes","No"))</f>
        <v/>
      </c>
      <c r="V38">
        <f>IF(A38="","",IF(AND(S38="Low Movement",M38&gt;0,P38&gt;=2),"Yes","No"))</f>
        <v/>
      </c>
      <c r="W38" s="2">
        <f>IF(T38="","",MIN(0.12,IF(T38="High Value Bundle",0.05,IF(T38="Medium Value Bundle",0.07,0.10))+IF(P38&gt;=8,0.02,0)))</f>
        <v/>
      </c>
      <c r="X38">
        <f>IF(U38="Yes",C38&amp;"|anchor","")</f>
        <v/>
      </c>
      <c r="Y38">
        <f>IF(U38="Yes",B38,"")</f>
        <v/>
      </c>
    </row>
    <row r="39">
      <c r="A39">
        <f>Input_Data!C39</f>
        <v/>
      </c>
      <c r="B39">
        <f>Input_Data!A39</f>
        <v/>
      </c>
      <c r="C39">
        <f>Input_Data!B39</f>
        <v/>
      </c>
      <c r="D39">
        <f>Input_Data!D39</f>
        <v/>
      </c>
      <c r="E39">
        <f>IF(A39="","",SUM(Input_Data!E39:H39))</f>
        <v/>
      </c>
      <c r="F39">
        <f>IF(E39="","",E39/4)</f>
        <v/>
      </c>
      <c r="G39" s="2">
        <f>IF(E39="","",IF(COUNTA($E$2:$E$300)&lt;=1,0,PERCENTRANK.INC($E$2:$E$300,E39)))</f>
        <v/>
      </c>
      <c r="H39" s="2">
        <f>IF(G39="","",1-G39)</f>
        <v/>
      </c>
      <c r="I39" s="2">
        <f>Input_Data!I39</f>
        <v/>
      </c>
      <c r="J39" s="2">
        <f>IF(I39="","",IF(COUNTA($I$2:$I$300)&lt;=1,0,PERCENTRANK.INC($I$2:$I$300,I39)))</f>
        <v/>
      </c>
      <c r="K39">
        <f>Input_Data!J39</f>
        <v/>
      </c>
      <c r="L39">
        <f>Input_Data!K39</f>
        <v/>
      </c>
      <c r="M39">
        <f>Input_Data!L39</f>
        <v/>
      </c>
      <c r="N39">
        <f>IF(K39="","",K39-L39)</f>
        <v/>
      </c>
      <c r="O39">
        <f>IF(A39="","",IF(ABS(M39-N39)&lt;=1,"OK","CHECK"))</f>
        <v/>
      </c>
      <c r="P39">
        <f>IF(M39="","",IF(F39=0,99,M39/F39))</f>
        <v/>
      </c>
      <c r="Q39" s="2">
        <f>IF(P39="","",IF(COUNTA($P$2:$P$300)&lt;=1,0,PERCENTRANK.INC($P$2:$P$300,P39)))</f>
        <v/>
      </c>
      <c r="R39" s="2">
        <f>IF(A39="","",0.45*H39+0.35*Q39+0.20*J39)</f>
        <v/>
      </c>
      <c r="S39">
        <f>IF(G39="","",IF(G39&lt;=0.33,"Low Movement",IF(G39&lt;=0.66,"Medium Movement","High Movement")))</f>
        <v/>
      </c>
      <c r="T39">
        <f>IF(R39="","",IF(R39&gt;=0.67,"High Value Bundle",IF(R39&gt;=0.34,"Medium Value Bundle","Low Value Bundle")))</f>
        <v/>
      </c>
      <c r="U39">
        <f>IF(A39="","",IF(AND(G39&gt;=0.70,J39&gt;=0.70,M39&gt;0),"Yes","No"))</f>
        <v/>
      </c>
      <c r="V39">
        <f>IF(A39="","",IF(AND(S39="Low Movement",M39&gt;0,P39&gt;=2),"Yes","No"))</f>
        <v/>
      </c>
      <c r="W39" s="2">
        <f>IF(T39="","",MIN(0.12,IF(T39="High Value Bundle",0.05,IF(T39="Medium Value Bundle",0.07,0.10))+IF(P39&gt;=8,0.02,0)))</f>
        <v/>
      </c>
      <c r="X39">
        <f>IF(U39="Yes",C39&amp;"|anchor","")</f>
        <v/>
      </c>
      <c r="Y39">
        <f>IF(U39="Yes",B39,"")</f>
        <v/>
      </c>
    </row>
    <row r="40">
      <c r="A40">
        <f>Input_Data!C40</f>
        <v/>
      </c>
      <c r="B40">
        <f>Input_Data!A40</f>
        <v/>
      </c>
      <c r="C40">
        <f>Input_Data!B40</f>
        <v/>
      </c>
      <c r="D40">
        <f>Input_Data!D40</f>
        <v/>
      </c>
      <c r="E40">
        <f>IF(A40="","",SUM(Input_Data!E40:H40))</f>
        <v/>
      </c>
      <c r="F40">
        <f>IF(E40="","",E40/4)</f>
        <v/>
      </c>
      <c r="G40" s="2">
        <f>IF(E40="","",IF(COUNTA($E$2:$E$300)&lt;=1,0,PERCENTRANK.INC($E$2:$E$300,E40)))</f>
        <v/>
      </c>
      <c r="H40" s="2">
        <f>IF(G40="","",1-G40)</f>
        <v/>
      </c>
      <c r="I40" s="2">
        <f>Input_Data!I40</f>
        <v/>
      </c>
      <c r="J40" s="2">
        <f>IF(I40="","",IF(COUNTA($I$2:$I$300)&lt;=1,0,PERCENTRANK.INC($I$2:$I$300,I40)))</f>
        <v/>
      </c>
      <c r="K40">
        <f>Input_Data!J40</f>
        <v/>
      </c>
      <c r="L40">
        <f>Input_Data!K40</f>
        <v/>
      </c>
      <c r="M40">
        <f>Input_Data!L40</f>
        <v/>
      </c>
      <c r="N40">
        <f>IF(K40="","",K40-L40)</f>
        <v/>
      </c>
      <c r="O40">
        <f>IF(A40="","",IF(ABS(M40-N40)&lt;=1,"OK","CHECK"))</f>
        <v/>
      </c>
      <c r="P40">
        <f>IF(M40="","",IF(F40=0,99,M40/F40))</f>
        <v/>
      </c>
      <c r="Q40" s="2">
        <f>IF(P40="","",IF(COUNTA($P$2:$P$300)&lt;=1,0,PERCENTRANK.INC($P$2:$P$300,P40)))</f>
        <v/>
      </c>
      <c r="R40" s="2">
        <f>IF(A40="","",0.45*H40+0.35*Q40+0.20*J40)</f>
        <v/>
      </c>
      <c r="S40">
        <f>IF(G40="","",IF(G40&lt;=0.33,"Low Movement",IF(G40&lt;=0.66,"Medium Movement","High Movement")))</f>
        <v/>
      </c>
      <c r="T40">
        <f>IF(R40="","",IF(R40&gt;=0.67,"High Value Bundle",IF(R40&gt;=0.34,"Medium Value Bundle","Low Value Bundle")))</f>
        <v/>
      </c>
      <c r="U40">
        <f>IF(A40="","",IF(AND(G40&gt;=0.70,J40&gt;=0.70,M40&gt;0),"Yes","No"))</f>
        <v/>
      </c>
      <c r="V40">
        <f>IF(A40="","",IF(AND(S40="Low Movement",M40&gt;0,P40&gt;=2),"Yes","No"))</f>
        <v/>
      </c>
      <c r="W40" s="2">
        <f>IF(T40="","",MIN(0.12,IF(T40="High Value Bundle",0.05,IF(T40="Medium Value Bundle",0.07,0.10))+IF(P40&gt;=8,0.02,0)))</f>
        <v/>
      </c>
      <c r="X40">
        <f>IF(U40="Yes",C40&amp;"|anchor","")</f>
        <v/>
      </c>
      <c r="Y40">
        <f>IF(U40="Yes",B40,"")</f>
        <v/>
      </c>
    </row>
    <row r="41">
      <c r="A41">
        <f>Input_Data!C41</f>
        <v/>
      </c>
      <c r="B41">
        <f>Input_Data!A41</f>
        <v/>
      </c>
      <c r="C41">
        <f>Input_Data!B41</f>
        <v/>
      </c>
      <c r="D41">
        <f>Input_Data!D41</f>
        <v/>
      </c>
      <c r="E41">
        <f>IF(A41="","",SUM(Input_Data!E41:H41))</f>
        <v/>
      </c>
      <c r="F41">
        <f>IF(E41="","",E41/4)</f>
        <v/>
      </c>
      <c r="G41" s="2">
        <f>IF(E41="","",IF(COUNTA($E$2:$E$300)&lt;=1,0,PERCENTRANK.INC($E$2:$E$300,E41)))</f>
        <v/>
      </c>
      <c r="H41" s="2">
        <f>IF(G41="","",1-G41)</f>
        <v/>
      </c>
      <c r="I41" s="2">
        <f>Input_Data!I41</f>
        <v/>
      </c>
      <c r="J41" s="2">
        <f>IF(I41="","",IF(COUNTA($I$2:$I$300)&lt;=1,0,PERCENTRANK.INC($I$2:$I$300,I41)))</f>
        <v/>
      </c>
      <c r="K41">
        <f>Input_Data!J41</f>
        <v/>
      </c>
      <c r="L41">
        <f>Input_Data!K41</f>
        <v/>
      </c>
      <c r="M41">
        <f>Input_Data!L41</f>
        <v/>
      </c>
      <c r="N41">
        <f>IF(K41="","",K41-L41)</f>
        <v/>
      </c>
      <c r="O41">
        <f>IF(A41="","",IF(ABS(M41-N41)&lt;=1,"OK","CHECK"))</f>
        <v/>
      </c>
      <c r="P41">
        <f>IF(M41="","",IF(F41=0,99,M41/F41))</f>
        <v/>
      </c>
      <c r="Q41" s="2">
        <f>IF(P41="","",IF(COUNTA($P$2:$P$300)&lt;=1,0,PERCENTRANK.INC($P$2:$P$300,P41)))</f>
        <v/>
      </c>
      <c r="R41" s="2">
        <f>IF(A41="","",0.45*H41+0.35*Q41+0.20*J41)</f>
        <v/>
      </c>
      <c r="S41">
        <f>IF(G41="","",IF(G41&lt;=0.33,"Low Movement",IF(G41&lt;=0.66,"Medium Movement","High Movement")))</f>
        <v/>
      </c>
      <c r="T41">
        <f>IF(R41="","",IF(R41&gt;=0.67,"High Value Bundle",IF(R41&gt;=0.34,"Medium Value Bundle","Low Value Bundle")))</f>
        <v/>
      </c>
      <c r="U41">
        <f>IF(A41="","",IF(AND(G41&gt;=0.70,J41&gt;=0.70,M41&gt;0),"Yes","No"))</f>
        <v/>
      </c>
      <c r="V41">
        <f>IF(A41="","",IF(AND(S41="Low Movement",M41&gt;0,P41&gt;=2),"Yes","No"))</f>
        <v/>
      </c>
      <c r="W41" s="2">
        <f>IF(T41="","",MIN(0.12,IF(T41="High Value Bundle",0.05,IF(T41="Medium Value Bundle",0.07,0.10))+IF(P41&gt;=8,0.02,0)))</f>
        <v/>
      </c>
      <c r="X41">
        <f>IF(U41="Yes",C41&amp;"|anchor","")</f>
        <v/>
      </c>
      <c r="Y41">
        <f>IF(U41="Yes",B41,"")</f>
        <v/>
      </c>
    </row>
    <row r="42">
      <c r="A42">
        <f>Input_Data!C42</f>
        <v/>
      </c>
      <c r="B42">
        <f>Input_Data!A42</f>
        <v/>
      </c>
      <c r="C42">
        <f>Input_Data!B42</f>
        <v/>
      </c>
      <c r="D42">
        <f>Input_Data!D42</f>
        <v/>
      </c>
      <c r="E42">
        <f>IF(A42="","",SUM(Input_Data!E42:H42))</f>
        <v/>
      </c>
      <c r="F42">
        <f>IF(E42="","",E42/4)</f>
        <v/>
      </c>
      <c r="G42" s="2">
        <f>IF(E42="","",IF(COUNTA($E$2:$E$300)&lt;=1,0,PERCENTRANK.INC($E$2:$E$300,E42)))</f>
        <v/>
      </c>
      <c r="H42" s="2">
        <f>IF(G42="","",1-G42)</f>
        <v/>
      </c>
      <c r="I42" s="2">
        <f>Input_Data!I42</f>
        <v/>
      </c>
      <c r="J42" s="2">
        <f>IF(I42="","",IF(COUNTA($I$2:$I$300)&lt;=1,0,PERCENTRANK.INC($I$2:$I$300,I42)))</f>
        <v/>
      </c>
      <c r="K42">
        <f>Input_Data!J42</f>
        <v/>
      </c>
      <c r="L42">
        <f>Input_Data!K42</f>
        <v/>
      </c>
      <c r="M42">
        <f>Input_Data!L42</f>
        <v/>
      </c>
      <c r="N42">
        <f>IF(K42="","",K42-L42)</f>
        <v/>
      </c>
      <c r="O42">
        <f>IF(A42="","",IF(ABS(M42-N42)&lt;=1,"OK","CHECK"))</f>
        <v/>
      </c>
      <c r="P42">
        <f>IF(M42="","",IF(F42=0,99,M42/F42))</f>
        <v/>
      </c>
      <c r="Q42" s="2">
        <f>IF(P42="","",IF(COUNTA($P$2:$P$300)&lt;=1,0,PERCENTRANK.INC($P$2:$P$300,P42)))</f>
        <v/>
      </c>
      <c r="R42" s="2">
        <f>IF(A42="","",0.45*H42+0.35*Q42+0.20*J42)</f>
        <v/>
      </c>
      <c r="S42">
        <f>IF(G42="","",IF(G42&lt;=0.33,"Low Movement",IF(G42&lt;=0.66,"Medium Movement","High Movement")))</f>
        <v/>
      </c>
      <c r="T42">
        <f>IF(R42="","",IF(R42&gt;=0.67,"High Value Bundle",IF(R42&gt;=0.34,"Medium Value Bundle","Low Value Bundle")))</f>
        <v/>
      </c>
      <c r="U42">
        <f>IF(A42="","",IF(AND(G42&gt;=0.70,J42&gt;=0.70,M42&gt;0),"Yes","No"))</f>
        <v/>
      </c>
      <c r="V42">
        <f>IF(A42="","",IF(AND(S42="Low Movement",M42&gt;0,P42&gt;=2),"Yes","No"))</f>
        <v/>
      </c>
      <c r="W42" s="2">
        <f>IF(T42="","",MIN(0.12,IF(T42="High Value Bundle",0.05,IF(T42="Medium Value Bundle",0.07,0.10))+IF(P42&gt;=8,0.02,0)))</f>
        <v/>
      </c>
      <c r="X42">
        <f>IF(U42="Yes",C42&amp;"|anchor","")</f>
        <v/>
      </c>
      <c r="Y42">
        <f>IF(U42="Yes",B42,"")</f>
        <v/>
      </c>
    </row>
    <row r="43">
      <c r="A43">
        <f>Input_Data!C43</f>
        <v/>
      </c>
      <c r="B43">
        <f>Input_Data!A43</f>
        <v/>
      </c>
      <c r="C43">
        <f>Input_Data!B43</f>
        <v/>
      </c>
      <c r="D43">
        <f>Input_Data!D43</f>
        <v/>
      </c>
      <c r="E43">
        <f>IF(A43="","",SUM(Input_Data!E43:H43))</f>
        <v/>
      </c>
      <c r="F43">
        <f>IF(E43="","",E43/4)</f>
        <v/>
      </c>
      <c r="G43" s="2">
        <f>IF(E43="","",IF(COUNTA($E$2:$E$300)&lt;=1,0,PERCENTRANK.INC($E$2:$E$300,E43)))</f>
        <v/>
      </c>
      <c r="H43" s="2">
        <f>IF(G43="","",1-G43)</f>
        <v/>
      </c>
      <c r="I43" s="2">
        <f>Input_Data!I43</f>
        <v/>
      </c>
      <c r="J43" s="2">
        <f>IF(I43="","",IF(COUNTA($I$2:$I$300)&lt;=1,0,PERCENTRANK.INC($I$2:$I$300,I43)))</f>
        <v/>
      </c>
      <c r="K43">
        <f>Input_Data!J43</f>
        <v/>
      </c>
      <c r="L43">
        <f>Input_Data!K43</f>
        <v/>
      </c>
      <c r="M43">
        <f>Input_Data!L43</f>
        <v/>
      </c>
      <c r="N43">
        <f>IF(K43="","",K43-L43)</f>
        <v/>
      </c>
      <c r="O43">
        <f>IF(A43="","",IF(ABS(M43-N43)&lt;=1,"OK","CHECK"))</f>
        <v/>
      </c>
      <c r="P43">
        <f>IF(M43="","",IF(F43=0,99,M43/F43))</f>
        <v/>
      </c>
      <c r="Q43" s="2">
        <f>IF(P43="","",IF(COUNTA($P$2:$P$300)&lt;=1,0,PERCENTRANK.INC($P$2:$P$300,P43)))</f>
        <v/>
      </c>
      <c r="R43" s="2">
        <f>IF(A43="","",0.45*H43+0.35*Q43+0.20*J43)</f>
        <v/>
      </c>
      <c r="S43">
        <f>IF(G43="","",IF(G43&lt;=0.33,"Low Movement",IF(G43&lt;=0.66,"Medium Movement","High Movement")))</f>
        <v/>
      </c>
      <c r="T43">
        <f>IF(R43="","",IF(R43&gt;=0.67,"High Value Bundle",IF(R43&gt;=0.34,"Medium Value Bundle","Low Value Bundle")))</f>
        <v/>
      </c>
      <c r="U43">
        <f>IF(A43="","",IF(AND(G43&gt;=0.70,J43&gt;=0.70,M43&gt;0),"Yes","No"))</f>
        <v/>
      </c>
      <c r="V43">
        <f>IF(A43="","",IF(AND(S43="Low Movement",M43&gt;0,P43&gt;=2),"Yes","No"))</f>
        <v/>
      </c>
      <c r="W43" s="2">
        <f>IF(T43="","",MIN(0.12,IF(T43="High Value Bundle",0.05,IF(T43="Medium Value Bundle",0.07,0.10))+IF(P43&gt;=8,0.02,0)))</f>
        <v/>
      </c>
      <c r="X43">
        <f>IF(U43="Yes",C43&amp;"|anchor","")</f>
        <v/>
      </c>
      <c r="Y43">
        <f>IF(U43="Yes",B43,"")</f>
        <v/>
      </c>
    </row>
    <row r="44">
      <c r="A44">
        <f>Input_Data!C44</f>
        <v/>
      </c>
      <c r="B44">
        <f>Input_Data!A44</f>
        <v/>
      </c>
      <c r="C44">
        <f>Input_Data!B44</f>
        <v/>
      </c>
      <c r="D44">
        <f>Input_Data!D44</f>
        <v/>
      </c>
      <c r="E44">
        <f>IF(A44="","",SUM(Input_Data!E44:H44))</f>
        <v/>
      </c>
      <c r="F44">
        <f>IF(E44="","",E44/4)</f>
        <v/>
      </c>
      <c r="G44" s="2">
        <f>IF(E44="","",IF(COUNTA($E$2:$E$300)&lt;=1,0,PERCENTRANK.INC($E$2:$E$300,E44)))</f>
        <v/>
      </c>
      <c r="H44" s="2">
        <f>IF(G44="","",1-G44)</f>
        <v/>
      </c>
      <c r="I44" s="2">
        <f>Input_Data!I44</f>
        <v/>
      </c>
      <c r="J44" s="2">
        <f>IF(I44="","",IF(COUNTA($I$2:$I$300)&lt;=1,0,PERCENTRANK.INC($I$2:$I$300,I44)))</f>
        <v/>
      </c>
      <c r="K44">
        <f>Input_Data!J44</f>
        <v/>
      </c>
      <c r="L44">
        <f>Input_Data!K44</f>
        <v/>
      </c>
      <c r="M44">
        <f>Input_Data!L44</f>
        <v/>
      </c>
      <c r="N44">
        <f>IF(K44="","",K44-L44)</f>
        <v/>
      </c>
      <c r="O44">
        <f>IF(A44="","",IF(ABS(M44-N44)&lt;=1,"OK","CHECK"))</f>
        <v/>
      </c>
      <c r="P44">
        <f>IF(M44="","",IF(F44=0,99,M44/F44))</f>
        <v/>
      </c>
      <c r="Q44" s="2">
        <f>IF(P44="","",IF(COUNTA($P$2:$P$300)&lt;=1,0,PERCENTRANK.INC($P$2:$P$300,P44)))</f>
        <v/>
      </c>
      <c r="R44" s="2">
        <f>IF(A44="","",0.45*H44+0.35*Q44+0.20*J44)</f>
        <v/>
      </c>
      <c r="S44">
        <f>IF(G44="","",IF(G44&lt;=0.33,"Low Movement",IF(G44&lt;=0.66,"Medium Movement","High Movement")))</f>
        <v/>
      </c>
      <c r="T44">
        <f>IF(R44="","",IF(R44&gt;=0.67,"High Value Bundle",IF(R44&gt;=0.34,"Medium Value Bundle","Low Value Bundle")))</f>
        <v/>
      </c>
      <c r="U44">
        <f>IF(A44="","",IF(AND(G44&gt;=0.70,J44&gt;=0.70,M44&gt;0),"Yes","No"))</f>
        <v/>
      </c>
      <c r="V44">
        <f>IF(A44="","",IF(AND(S44="Low Movement",M44&gt;0,P44&gt;=2),"Yes","No"))</f>
        <v/>
      </c>
      <c r="W44" s="2">
        <f>IF(T44="","",MIN(0.12,IF(T44="High Value Bundle",0.05,IF(T44="Medium Value Bundle",0.07,0.10))+IF(P44&gt;=8,0.02,0)))</f>
        <v/>
      </c>
      <c r="X44">
        <f>IF(U44="Yes",C44&amp;"|anchor","")</f>
        <v/>
      </c>
      <c r="Y44">
        <f>IF(U44="Yes",B44,"")</f>
        <v/>
      </c>
    </row>
    <row r="45">
      <c r="A45">
        <f>Input_Data!C45</f>
        <v/>
      </c>
      <c r="B45">
        <f>Input_Data!A45</f>
        <v/>
      </c>
      <c r="C45">
        <f>Input_Data!B45</f>
        <v/>
      </c>
      <c r="D45">
        <f>Input_Data!D45</f>
        <v/>
      </c>
      <c r="E45">
        <f>IF(A45="","",SUM(Input_Data!E45:H45))</f>
        <v/>
      </c>
      <c r="F45">
        <f>IF(E45="","",E45/4)</f>
        <v/>
      </c>
      <c r="G45" s="2">
        <f>IF(E45="","",IF(COUNTA($E$2:$E$300)&lt;=1,0,PERCENTRANK.INC($E$2:$E$300,E45)))</f>
        <v/>
      </c>
      <c r="H45" s="2">
        <f>IF(G45="","",1-G45)</f>
        <v/>
      </c>
      <c r="I45" s="2">
        <f>Input_Data!I45</f>
        <v/>
      </c>
      <c r="J45" s="2">
        <f>IF(I45="","",IF(COUNTA($I$2:$I$300)&lt;=1,0,PERCENTRANK.INC($I$2:$I$300,I45)))</f>
        <v/>
      </c>
      <c r="K45">
        <f>Input_Data!J45</f>
        <v/>
      </c>
      <c r="L45">
        <f>Input_Data!K45</f>
        <v/>
      </c>
      <c r="M45">
        <f>Input_Data!L45</f>
        <v/>
      </c>
      <c r="N45">
        <f>IF(K45="","",K45-L45)</f>
        <v/>
      </c>
      <c r="O45">
        <f>IF(A45="","",IF(ABS(M45-N45)&lt;=1,"OK","CHECK"))</f>
        <v/>
      </c>
      <c r="P45">
        <f>IF(M45="","",IF(F45=0,99,M45/F45))</f>
        <v/>
      </c>
      <c r="Q45" s="2">
        <f>IF(P45="","",IF(COUNTA($P$2:$P$300)&lt;=1,0,PERCENTRANK.INC($P$2:$P$300,P45)))</f>
        <v/>
      </c>
      <c r="R45" s="2">
        <f>IF(A45="","",0.45*H45+0.35*Q45+0.20*J45)</f>
        <v/>
      </c>
      <c r="S45">
        <f>IF(G45="","",IF(G45&lt;=0.33,"Low Movement",IF(G45&lt;=0.66,"Medium Movement","High Movement")))</f>
        <v/>
      </c>
      <c r="T45">
        <f>IF(R45="","",IF(R45&gt;=0.67,"High Value Bundle",IF(R45&gt;=0.34,"Medium Value Bundle","Low Value Bundle")))</f>
        <v/>
      </c>
      <c r="U45">
        <f>IF(A45="","",IF(AND(G45&gt;=0.70,J45&gt;=0.70,M45&gt;0),"Yes","No"))</f>
        <v/>
      </c>
      <c r="V45">
        <f>IF(A45="","",IF(AND(S45="Low Movement",M45&gt;0,P45&gt;=2),"Yes","No"))</f>
        <v/>
      </c>
      <c r="W45" s="2">
        <f>IF(T45="","",MIN(0.12,IF(T45="High Value Bundle",0.05,IF(T45="Medium Value Bundle",0.07,0.10))+IF(P45&gt;=8,0.02,0)))</f>
        <v/>
      </c>
      <c r="X45">
        <f>IF(U45="Yes",C45&amp;"|anchor","")</f>
        <v/>
      </c>
      <c r="Y45">
        <f>IF(U45="Yes",B45,"")</f>
        <v/>
      </c>
    </row>
    <row r="46">
      <c r="A46">
        <f>Input_Data!C46</f>
        <v/>
      </c>
      <c r="B46">
        <f>Input_Data!A46</f>
        <v/>
      </c>
      <c r="C46">
        <f>Input_Data!B46</f>
        <v/>
      </c>
      <c r="D46">
        <f>Input_Data!D46</f>
        <v/>
      </c>
      <c r="E46">
        <f>IF(A46="","",SUM(Input_Data!E46:H46))</f>
        <v/>
      </c>
      <c r="F46">
        <f>IF(E46="","",E46/4)</f>
        <v/>
      </c>
      <c r="G46" s="2">
        <f>IF(E46="","",IF(COUNTA($E$2:$E$300)&lt;=1,0,PERCENTRANK.INC($E$2:$E$300,E46)))</f>
        <v/>
      </c>
      <c r="H46" s="2">
        <f>IF(G46="","",1-G46)</f>
        <v/>
      </c>
      <c r="I46" s="2">
        <f>Input_Data!I46</f>
        <v/>
      </c>
      <c r="J46" s="2">
        <f>IF(I46="","",IF(COUNTA($I$2:$I$300)&lt;=1,0,PERCENTRANK.INC($I$2:$I$300,I46)))</f>
        <v/>
      </c>
      <c r="K46">
        <f>Input_Data!J46</f>
        <v/>
      </c>
      <c r="L46">
        <f>Input_Data!K46</f>
        <v/>
      </c>
      <c r="M46">
        <f>Input_Data!L46</f>
        <v/>
      </c>
      <c r="N46">
        <f>IF(K46="","",K46-L46)</f>
        <v/>
      </c>
      <c r="O46">
        <f>IF(A46="","",IF(ABS(M46-N46)&lt;=1,"OK","CHECK"))</f>
        <v/>
      </c>
      <c r="P46">
        <f>IF(M46="","",IF(F46=0,99,M46/F46))</f>
        <v/>
      </c>
      <c r="Q46" s="2">
        <f>IF(P46="","",IF(COUNTA($P$2:$P$300)&lt;=1,0,PERCENTRANK.INC($P$2:$P$300,P46)))</f>
        <v/>
      </c>
      <c r="R46" s="2">
        <f>IF(A46="","",0.45*H46+0.35*Q46+0.20*J46)</f>
        <v/>
      </c>
      <c r="S46">
        <f>IF(G46="","",IF(G46&lt;=0.33,"Low Movement",IF(G46&lt;=0.66,"Medium Movement","High Movement")))</f>
        <v/>
      </c>
      <c r="T46">
        <f>IF(R46="","",IF(R46&gt;=0.67,"High Value Bundle",IF(R46&gt;=0.34,"Medium Value Bundle","Low Value Bundle")))</f>
        <v/>
      </c>
      <c r="U46">
        <f>IF(A46="","",IF(AND(G46&gt;=0.70,J46&gt;=0.70,M46&gt;0),"Yes","No"))</f>
        <v/>
      </c>
      <c r="V46">
        <f>IF(A46="","",IF(AND(S46="Low Movement",M46&gt;0,P46&gt;=2),"Yes","No"))</f>
        <v/>
      </c>
      <c r="W46" s="2">
        <f>IF(T46="","",MIN(0.12,IF(T46="High Value Bundle",0.05,IF(T46="Medium Value Bundle",0.07,0.10))+IF(P46&gt;=8,0.02,0)))</f>
        <v/>
      </c>
      <c r="X46">
        <f>IF(U46="Yes",C46&amp;"|anchor","")</f>
        <v/>
      </c>
      <c r="Y46">
        <f>IF(U46="Yes",B46,"")</f>
        <v/>
      </c>
    </row>
    <row r="47">
      <c r="A47">
        <f>Input_Data!C47</f>
        <v/>
      </c>
      <c r="B47">
        <f>Input_Data!A47</f>
        <v/>
      </c>
      <c r="C47">
        <f>Input_Data!B47</f>
        <v/>
      </c>
      <c r="D47">
        <f>Input_Data!D47</f>
        <v/>
      </c>
      <c r="E47">
        <f>IF(A47="","",SUM(Input_Data!E47:H47))</f>
        <v/>
      </c>
      <c r="F47">
        <f>IF(E47="","",E47/4)</f>
        <v/>
      </c>
      <c r="G47" s="2">
        <f>IF(E47="","",IF(COUNTA($E$2:$E$300)&lt;=1,0,PERCENTRANK.INC($E$2:$E$300,E47)))</f>
        <v/>
      </c>
      <c r="H47" s="2">
        <f>IF(G47="","",1-G47)</f>
        <v/>
      </c>
      <c r="I47" s="2">
        <f>Input_Data!I47</f>
        <v/>
      </c>
      <c r="J47" s="2">
        <f>IF(I47="","",IF(COUNTA($I$2:$I$300)&lt;=1,0,PERCENTRANK.INC($I$2:$I$300,I47)))</f>
        <v/>
      </c>
      <c r="K47">
        <f>Input_Data!J47</f>
        <v/>
      </c>
      <c r="L47">
        <f>Input_Data!K47</f>
        <v/>
      </c>
      <c r="M47">
        <f>Input_Data!L47</f>
        <v/>
      </c>
      <c r="N47">
        <f>IF(K47="","",K47-L47)</f>
        <v/>
      </c>
      <c r="O47">
        <f>IF(A47="","",IF(ABS(M47-N47)&lt;=1,"OK","CHECK"))</f>
        <v/>
      </c>
      <c r="P47">
        <f>IF(M47="","",IF(F47=0,99,M47/F47))</f>
        <v/>
      </c>
      <c r="Q47" s="2">
        <f>IF(P47="","",IF(COUNTA($P$2:$P$300)&lt;=1,0,PERCENTRANK.INC($P$2:$P$300,P47)))</f>
        <v/>
      </c>
      <c r="R47" s="2">
        <f>IF(A47="","",0.45*H47+0.35*Q47+0.20*J47)</f>
        <v/>
      </c>
      <c r="S47">
        <f>IF(G47="","",IF(G47&lt;=0.33,"Low Movement",IF(G47&lt;=0.66,"Medium Movement","High Movement")))</f>
        <v/>
      </c>
      <c r="T47">
        <f>IF(R47="","",IF(R47&gt;=0.67,"High Value Bundle",IF(R47&gt;=0.34,"Medium Value Bundle","Low Value Bundle")))</f>
        <v/>
      </c>
      <c r="U47">
        <f>IF(A47="","",IF(AND(G47&gt;=0.70,J47&gt;=0.70,M47&gt;0),"Yes","No"))</f>
        <v/>
      </c>
      <c r="V47">
        <f>IF(A47="","",IF(AND(S47="Low Movement",M47&gt;0,P47&gt;=2),"Yes","No"))</f>
        <v/>
      </c>
      <c r="W47" s="2">
        <f>IF(T47="","",MIN(0.12,IF(T47="High Value Bundle",0.05,IF(T47="Medium Value Bundle",0.07,0.10))+IF(P47&gt;=8,0.02,0)))</f>
        <v/>
      </c>
      <c r="X47">
        <f>IF(U47="Yes",C47&amp;"|anchor","")</f>
        <v/>
      </c>
      <c r="Y47">
        <f>IF(U47="Yes",B47,"")</f>
        <v/>
      </c>
    </row>
    <row r="48">
      <c r="A48">
        <f>Input_Data!C48</f>
        <v/>
      </c>
      <c r="B48">
        <f>Input_Data!A48</f>
        <v/>
      </c>
      <c r="C48">
        <f>Input_Data!B48</f>
        <v/>
      </c>
      <c r="D48">
        <f>Input_Data!D48</f>
        <v/>
      </c>
      <c r="E48">
        <f>IF(A48="","",SUM(Input_Data!E48:H48))</f>
        <v/>
      </c>
      <c r="F48">
        <f>IF(E48="","",E48/4)</f>
        <v/>
      </c>
      <c r="G48" s="2">
        <f>IF(E48="","",IF(COUNTA($E$2:$E$300)&lt;=1,0,PERCENTRANK.INC($E$2:$E$300,E48)))</f>
        <v/>
      </c>
      <c r="H48" s="2">
        <f>IF(G48="","",1-G48)</f>
        <v/>
      </c>
      <c r="I48" s="2">
        <f>Input_Data!I48</f>
        <v/>
      </c>
      <c r="J48" s="2">
        <f>IF(I48="","",IF(COUNTA($I$2:$I$300)&lt;=1,0,PERCENTRANK.INC($I$2:$I$300,I48)))</f>
        <v/>
      </c>
      <c r="K48">
        <f>Input_Data!J48</f>
        <v/>
      </c>
      <c r="L48">
        <f>Input_Data!K48</f>
        <v/>
      </c>
      <c r="M48">
        <f>Input_Data!L48</f>
        <v/>
      </c>
      <c r="N48">
        <f>IF(K48="","",K48-L48)</f>
        <v/>
      </c>
      <c r="O48">
        <f>IF(A48="","",IF(ABS(M48-N48)&lt;=1,"OK","CHECK"))</f>
        <v/>
      </c>
      <c r="P48">
        <f>IF(M48="","",IF(F48=0,99,M48/F48))</f>
        <v/>
      </c>
      <c r="Q48" s="2">
        <f>IF(P48="","",IF(COUNTA($P$2:$P$300)&lt;=1,0,PERCENTRANK.INC($P$2:$P$300,P48)))</f>
        <v/>
      </c>
      <c r="R48" s="2">
        <f>IF(A48="","",0.45*H48+0.35*Q48+0.20*J48)</f>
        <v/>
      </c>
      <c r="S48">
        <f>IF(G48="","",IF(G48&lt;=0.33,"Low Movement",IF(G48&lt;=0.66,"Medium Movement","High Movement")))</f>
        <v/>
      </c>
      <c r="T48">
        <f>IF(R48="","",IF(R48&gt;=0.67,"High Value Bundle",IF(R48&gt;=0.34,"Medium Value Bundle","Low Value Bundle")))</f>
        <v/>
      </c>
      <c r="U48">
        <f>IF(A48="","",IF(AND(G48&gt;=0.70,J48&gt;=0.70,M48&gt;0),"Yes","No"))</f>
        <v/>
      </c>
      <c r="V48">
        <f>IF(A48="","",IF(AND(S48="Low Movement",M48&gt;0,P48&gt;=2),"Yes","No"))</f>
        <v/>
      </c>
      <c r="W48" s="2">
        <f>IF(T48="","",MIN(0.12,IF(T48="High Value Bundle",0.05,IF(T48="Medium Value Bundle",0.07,0.10))+IF(P48&gt;=8,0.02,0)))</f>
        <v/>
      </c>
      <c r="X48">
        <f>IF(U48="Yes",C48&amp;"|anchor","")</f>
        <v/>
      </c>
      <c r="Y48">
        <f>IF(U48="Yes",B48,"")</f>
        <v/>
      </c>
    </row>
    <row r="49">
      <c r="A49">
        <f>Input_Data!C49</f>
        <v/>
      </c>
      <c r="B49">
        <f>Input_Data!A49</f>
        <v/>
      </c>
      <c r="C49">
        <f>Input_Data!B49</f>
        <v/>
      </c>
      <c r="D49">
        <f>Input_Data!D49</f>
        <v/>
      </c>
      <c r="E49">
        <f>IF(A49="","",SUM(Input_Data!E49:H49))</f>
        <v/>
      </c>
      <c r="F49">
        <f>IF(E49="","",E49/4)</f>
        <v/>
      </c>
      <c r="G49" s="2">
        <f>IF(E49="","",IF(COUNTA($E$2:$E$300)&lt;=1,0,PERCENTRANK.INC($E$2:$E$300,E49)))</f>
        <v/>
      </c>
      <c r="H49" s="2">
        <f>IF(G49="","",1-G49)</f>
        <v/>
      </c>
      <c r="I49" s="2">
        <f>Input_Data!I49</f>
        <v/>
      </c>
      <c r="J49" s="2">
        <f>IF(I49="","",IF(COUNTA($I$2:$I$300)&lt;=1,0,PERCENTRANK.INC($I$2:$I$300,I49)))</f>
        <v/>
      </c>
      <c r="K49">
        <f>Input_Data!J49</f>
        <v/>
      </c>
      <c r="L49">
        <f>Input_Data!K49</f>
        <v/>
      </c>
      <c r="M49">
        <f>Input_Data!L49</f>
        <v/>
      </c>
      <c r="N49">
        <f>IF(K49="","",K49-L49)</f>
        <v/>
      </c>
      <c r="O49">
        <f>IF(A49="","",IF(ABS(M49-N49)&lt;=1,"OK","CHECK"))</f>
        <v/>
      </c>
      <c r="P49">
        <f>IF(M49="","",IF(F49=0,99,M49/F49))</f>
        <v/>
      </c>
      <c r="Q49" s="2">
        <f>IF(P49="","",IF(COUNTA($P$2:$P$300)&lt;=1,0,PERCENTRANK.INC($P$2:$P$300,P49)))</f>
        <v/>
      </c>
      <c r="R49" s="2">
        <f>IF(A49="","",0.45*H49+0.35*Q49+0.20*J49)</f>
        <v/>
      </c>
      <c r="S49">
        <f>IF(G49="","",IF(G49&lt;=0.33,"Low Movement",IF(G49&lt;=0.66,"Medium Movement","High Movement")))</f>
        <v/>
      </c>
      <c r="T49">
        <f>IF(R49="","",IF(R49&gt;=0.67,"High Value Bundle",IF(R49&gt;=0.34,"Medium Value Bundle","Low Value Bundle")))</f>
        <v/>
      </c>
      <c r="U49">
        <f>IF(A49="","",IF(AND(G49&gt;=0.70,J49&gt;=0.70,M49&gt;0),"Yes","No"))</f>
        <v/>
      </c>
      <c r="V49">
        <f>IF(A49="","",IF(AND(S49="Low Movement",M49&gt;0,P49&gt;=2),"Yes","No"))</f>
        <v/>
      </c>
      <c r="W49" s="2">
        <f>IF(T49="","",MIN(0.12,IF(T49="High Value Bundle",0.05,IF(T49="Medium Value Bundle",0.07,0.10))+IF(P49&gt;=8,0.02,0)))</f>
        <v/>
      </c>
      <c r="X49">
        <f>IF(U49="Yes",C49&amp;"|anchor","")</f>
        <v/>
      </c>
      <c r="Y49">
        <f>IF(U49="Yes",B49,"")</f>
        <v/>
      </c>
    </row>
    <row r="50">
      <c r="A50">
        <f>Input_Data!C50</f>
        <v/>
      </c>
      <c r="B50">
        <f>Input_Data!A50</f>
        <v/>
      </c>
      <c r="C50">
        <f>Input_Data!B50</f>
        <v/>
      </c>
      <c r="D50">
        <f>Input_Data!D50</f>
        <v/>
      </c>
      <c r="E50">
        <f>IF(A50="","",SUM(Input_Data!E50:H50))</f>
        <v/>
      </c>
      <c r="F50">
        <f>IF(E50="","",E50/4)</f>
        <v/>
      </c>
      <c r="G50" s="2">
        <f>IF(E50="","",IF(COUNTA($E$2:$E$300)&lt;=1,0,PERCENTRANK.INC($E$2:$E$300,E50)))</f>
        <v/>
      </c>
      <c r="H50" s="2">
        <f>IF(G50="","",1-G50)</f>
        <v/>
      </c>
      <c r="I50" s="2">
        <f>Input_Data!I50</f>
        <v/>
      </c>
      <c r="J50" s="2">
        <f>IF(I50="","",IF(COUNTA($I$2:$I$300)&lt;=1,0,PERCENTRANK.INC($I$2:$I$300,I50)))</f>
        <v/>
      </c>
      <c r="K50">
        <f>Input_Data!J50</f>
        <v/>
      </c>
      <c r="L50">
        <f>Input_Data!K50</f>
        <v/>
      </c>
      <c r="M50">
        <f>Input_Data!L50</f>
        <v/>
      </c>
      <c r="N50">
        <f>IF(K50="","",K50-L50)</f>
        <v/>
      </c>
      <c r="O50">
        <f>IF(A50="","",IF(ABS(M50-N50)&lt;=1,"OK","CHECK"))</f>
        <v/>
      </c>
      <c r="P50">
        <f>IF(M50="","",IF(F50=0,99,M50/F50))</f>
        <v/>
      </c>
      <c r="Q50" s="2">
        <f>IF(P50="","",IF(COUNTA($P$2:$P$300)&lt;=1,0,PERCENTRANK.INC($P$2:$P$300,P50)))</f>
        <v/>
      </c>
      <c r="R50" s="2">
        <f>IF(A50="","",0.45*H50+0.35*Q50+0.20*J50)</f>
        <v/>
      </c>
      <c r="S50">
        <f>IF(G50="","",IF(G50&lt;=0.33,"Low Movement",IF(G50&lt;=0.66,"Medium Movement","High Movement")))</f>
        <v/>
      </c>
      <c r="T50">
        <f>IF(R50="","",IF(R50&gt;=0.67,"High Value Bundle",IF(R50&gt;=0.34,"Medium Value Bundle","Low Value Bundle")))</f>
        <v/>
      </c>
      <c r="U50">
        <f>IF(A50="","",IF(AND(G50&gt;=0.70,J50&gt;=0.70,M50&gt;0),"Yes","No"))</f>
        <v/>
      </c>
      <c r="V50">
        <f>IF(A50="","",IF(AND(S50="Low Movement",M50&gt;0,P50&gt;=2),"Yes","No"))</f>
        <v/>
      </c>
      <c r="W50" s="2">
        <f>IF(T50="","",MIN(0.12,IF(T50="High Value Bundle",0.05,IF(T50="Medium Value Bundle",0.07,0.10))+IF(P50&gt;=8,0.02,0)))</f>
        <v/>
      </c>
      <c r="X50">
        <f>IF(U50="Yes",C50&amp;"|anchor","")</f>
        <v/>
      </c>
      <c r="Y50">
        <f>IF(U50="Yes",B50,"")</f>
        <v/>
      </c>
    </row>
    <row r="51">
      <c r="A51">
        <f>Input_Data!C51</f>
        <v/>
      </c>
      <c r="B51">
        <f>Input_Data!A51</f>
        <v/>
      </c>
      <c r="C51">
        <f>Input_Data!B51</f>
        <v/>
      </c>
      <c r="D51">
        <f>Input_Data!D51</f>
        <v/>
      </c>
      <c r="E51">
        <f>IF(A51="","",SUM(Input_Data!E51:H51))</f>
        <v/>
      </c>
      <c r="F51">
        <f>IF(E51="","",E51/4)</f>
        <v/>
      </c>
      <c r="G51" s="2">
        <f>IF(E51="","",IF(COUNTA($E$2:$E$300)&lt;=1,0,PERCENTRANK.INC($E$2:$E$300,E51)))</f>
        <v/>
      </c>
      <c r="H51" s="2">
        <f>IF(G51="","",1-G51)</f>
        <v/>
      </c>
      <c r="I51" s="2">
        <f>Input_Data!I51</f>
        <v/>
      </c>
      <c r="J51" s="2">
        <f>IF(I51="","",IF(COUNTA($I$2:$I$300)&lt;=1,0,PERCENTRANK.INC($I$2:$I$300,I51)))</f>
        <v/>
      </c>
      <c r="K51">
        <f>Input_Data!J51</f>
        <v/>
      </c>
      <c r="L51">
        <f>Input_Data!K51</f>
        <v/>
      </c>
      <c r="M51">
        <f>Input_Data!L51</f>
        <v/>
      </c>
      <c r="N51">
        <f>IF(K51="","",K51-L51)</f>
        <v/>
      </c>
      <c r="O51">
        <f>IF(A51="","",IF(ABS(M51-N51)&lt;=1,"OK","CHECK"))</f>
        <v/>
      </c>
      <c r="P51">
        <f>IF(M51="","",IF(F51=0,99,M51/F51))</f>
        <v/>
      </c>
      <c r="Q51" s="2">
        <f>IF(P51="","",IF(COUNTA($P$2:$P$300)&lt;=1,0,PERCENTRANK.INC($P$2:$P$300,P51)))</f>
        <v/>
      </c>
      <c r="R51" s="2">
        <f>IF(A51="","",0.45*H51+0.35*Q51+0.20*J51)</f>
        <v/>
      </c>
      <c r="S51">
        <f>IF(G51="","",IF(G51&lt;=0.33,"Low Movement",IF(G51&lt;=0.66,"Medium Movement","High Movement")))</f>
        <v/>
      </c>
      <c r="T51">
        <f>IF(R51="","",IF(R51&gt;=0.67,"High Value Bundle",IF(R51&gt;=0.34,"Medium Value Bundle","Low Value Bundle")))</f>
        <v/>
      </c>
      <c r="U51">
        <f>IF(A51="","",IF(AND(G51&gt;=0.70,J51&gt;=0.70,M51&gt;0),"Yes","No"))</f>
        <v/>
      </c>
      <c r="V51">
        <f>IF(A51="","",IF(AND(S51="Low Movement",M51&gt;0,P51&gt;=2),"Yes","No"))</f>
        <v/>
      </c>
      <c r="W51" s="2">
        <f>IF(T51="","",MIN(0.12,IF(T51="High Value Bundle",0.05,IF(T51="Medium Value Bundle",0.07,0.10))+IF(P51&gt;=8,0.02,0)))</f>
        <v/>
      </c>
      <c r="X51">
        <f>IF(U51="Yes",C51&amp;"|anchor","")</f>
        <v/>
      </c>
      <c r="Y51">
        <f>IF(U51="Yes",B51,"")</f>
        <v/>
      </c>
    </row>
    <row r="52">
      <c r="A52">
        <f>Input_Data!C52</f>
        <v/>
      </c>
      <c r="B52">
        <f>Input_Data!A52</f>
        <v/>
      </c>
      <c r="C52">
        <f>Input_Data!B52</f>
        <v/>
      </c>
      <c r="D52">
        <f>Input_Data!D52</f>
        <v/>
      </c>
      <c r="E52">
        <f>IF(A52="","",SUM(Input_Data!E52:H52))</f>
        <v/>
      </c>
      <c r="F52">
        <f>IF(E52="","",E52/4)</f>
        <v/>
      </c>
      <c r="G52" s="2">
        <f>IF(E52="","",IF(COUNTA($E$2:$E$300)&lt;=1,0,PERCENTRANK.INC($E$2:$E$300,E52)))</f>
        <v/>
      </c>
      <c r="H52" s="2">
        <f>IF(G52="","",1-G52)</f>
        <v/>
      </c>
      <c r="I52" s="2">
        <f>Input_Data!I52</f>
        <v/>
      </c>
      <c r="J52" s="2">
        <f>IF(I52="","",IF(COUNTA($I$2:$I$300)&lt;=1,0,PERCENTRANK.INC($I$2:$I$300,I52)))</f>
        <v/>
      </c>
      <c r="K52">
        <f>Input_Data!J52</f>
        <v/>
      </c>
      <c r="L52">
        <f>Input_Data!K52</f>
        <v/>
      </c>
      <c r="M52">
        <f>Input_Data!L52</f>
        <v/>
      </c>
      <c r="N52">
        <f>IF(K52="","",K52-L52)</f>
        <v/>
      </c>
      <c r="O52">
        <f>IF(A52="","",IF(ABS(M52-N52)&lt;=1,"OK","CHECK"))</f>
        <v/>
      </c>
      <c r="P52">
        <f>IF(M52="","",IF(F52=0,99,M52/F52))</f>
        <v/>
      </c>
      <c r="Q52" s="2">
        <f>IF(P52="","",IF(COUNTA($P$2:$P$300)&lt;=1,0,PERCENTRANK.INC($P$2:$P$300,P52)))</f>
        <v/>
      </c>
      <c r="R52" s="2">
        <f>IF(A52="","",0.45*H52+0.35*Q52+0.20*J52)</f>
        <v/>
      </c>
      <c r="S52">
        <f>IF(G52="","",IF(G52&lt;=0.33,"Low Movement",IF(G52&lt;=0.66,"Medium Movement","High Movement")))</f>
        <v/>
      </c>
      <c r="T52">
        <f>IF(R52="","",IF(R52&gt;=0.67,"High Value Bundle",IF(R52&gt;=0.34,"Medium Value Bundle","Low Value Bundle")))</f>
        <v/>
      </c>
      <c r="U52">
        <f>IF(A52="","",IF(AND(G52&gt;=0.70,J52&gt;=0.70,M52&gt;0),"Yes","No"))</f>
        <v/>
      </c>
      <c r="V52">
        <f>IF(A52="","",IF(AND(S52="Low Movement",M52&gt;0,P52&gt;=2),"Yes","No"))</f>
        <v/>
      </c>
      <c r="W52" s="2">
        <f>IF(T52="","",MIN(0.12,IF(T52="High Value Bundle",0.05,IF(T52="Medium Value Bundle",0.07,0.10))+IF(P52&gt;=8,0.02,0)))</f>
        <v/>
      </c>
      <c r="X52">
        <f>IF(U52="Yes",C52&amp;"|anchor","")</f>
        <v/>
      </c>
      <c r="Y52">
        <f>IF(U52="Yes",B52,"")</f>
        <v/>
      </c>
    </row>
    <row r="53">
      <c r="A53">
        <f>Input_Data!C53</f>
        <v/>
      </c>
      <c r="B53">
        <f>Input_Data!A53</f>
        <v/>
      </c>
      <c r="C53">
        <f>Input_Data!B53</f>
        <v/>
      </c>
      <c r="D53">
        <f>Input_Data!D53</f>
        <v/>
      </c>
      <c r="E53">
        <f>IF(A53="","",SUM(Input_Data!E53:H53))</f>
        <v/>
      </c>
      <c r="F53">
        <f>IF(E53="","",E53/4)</f>
        <v/>
      </c>
      <c r="G53" s="2">
        <f>IF(E53="","",IF(COUNTA($E$2:$E$300)&lt;=1,0,PERCENTRANK.INC($E$2:$E$300,E53)))</f>
        <v/>
      </c>
      <c r="H53" s="2">
        <f>IF(G53="","",1-G53)</f>
        <v/>
      </c>
      <c r="I53" s="2">
        <f>Input_Data!I53</f>
        <v/>
      </c>
      <c r="J53" s="2">
        <f>IF(I53="","",IF(COUNTA($I$2:$I$300)&lt;=1,0,PERCENTRANK.INC($I$2:$I$300,I53)))</f>
        <v/>
      </c>
      <c r="K53">
        <f>Input_Data!J53</f>
        <v/>
      </c>
      <c r="L53">
        <f>Input_Data!K53</f>
        <v/>
      </c>
      <c r="M53">
        <f>Input_Data!L53</f>
        <v/>
      </c>
      <c r="N53">
        <f>IF(K53="","",K53-L53)</f>
        <v/>
      </c>
      <c r="O53">
        <f>IF(A53="","",IF(ABS(M53-N53)&lt;=1,"OK","CHECK"))</f>
        <v/>
      </c>
      <c r="P53">
        <f>IF(M53="","",IF(F53=0,99,M53/F53))</f>
        <v/>
      </c>
      <c r="Q53" s="2">
        <f>IF(P53="","",IF(COUNTA($P$2:$P$300)&lt;=1,0,PERCENTRANK.INC($P$2:$P$300,P53)))</f>
        <v/>
      </c>
      <c r="R53" s="2">
        <f>IF(A53="","",0.45*H53+0.35*Q53+0.20*J53)</f>
        <v/>
      </c>
      <c r="S53">
        <f>IF(G53="","",IF(G53&lt;=0.33,"Low Movement",IF(G53&lt;=0.66,"Medium Movement","High Movement")))</f>
        <v/>
      </c>
      <c r="T53">
        <f>IF(R53="","",IF(R53&gt;=0.67,"High Value Bundle",IF(R53&gt;=0.34,"Medium Value Bundle","Low Value Bundle")))</f>
        <v/>
      </c>
      <c r="U53">
        <f>IF(A53="","",IF(AND(G53&gt;=0.70,J53&gt;=0.70,M53&gt;0),"Yes","No"))</f>
        <v/>
      </c>
      <c r="V53">
        <f>IF(A53="","",IF(AND(S53="Low Movement",M53&gt;0,P53&gt;=2),"Yes","No"))</f>
        <v/>
      </c>
      <c r="W53" s="2">
        <f>IF(T53="","",MIN(0.12,IF(T53="High Value Bundle",0.05,IF(T53="Medium Value Bundle",0.07,0.10))+IF(P53&gt;=8,0.02,0)))</f>
        <v/>
      </c>
      <c r="X53">
        <f>IF(U53="Yes",C53&amp;"|anchor","")</f>
        <v/>
      </c>
      <c r="Y53">
        <f>IF(U53="Yes",B53,"")</f>
        <v/>
      </c>
    </row>
    <row r="54">
      <c r="A54">
        <f>Input_Data!C54</f>
        <v/>
      </c>
      <c r="B54">
        <f>Input_Data!A54</f>
        <v/>
      </c>
      <c r="C54">
        <f>Input_Data!B54</f>
        <v/>
      </c>
      <c r="D54">
        <f>Input_Data!D54</f>
        <v/>
      </c>
      <c r="E54">
        <f>IF(A54="","",SUM(Input_Data!E54:H54))</f>
        <v/>
      </c>
      <c r="F54">
        <f>IF(E54="","",E54/4)</f>
        <v/>
      </c>
      <c r="G54" s="2">
        <f>IF(E54="","",IF(COUNTA($E$2:$E$300)&lt;=1,0,PERCENTRANK.INC($E$2:$E$300,E54)))</f>
        <v/>
      </c>
      <c r="H54" s="2">
        <f>IF(G54="","",1-G54)</f>
        <v/>
      </c>
      <c r="I54" s="2">
        <f>Input_Data!I54</f>
        <v/>
      </c>
      <c r="J54" s="2">
        <f>IF(I54="","",IF(COUNTA($I$2:$I$300)&lt;=1,0,PERCENTRANK.INC($I$2:$I$300,I54)))</f>
        <v/>
      </c>
      <c r="K54">
        <f>Input_Data!J54</f>
        <v/>
      </c>
      <c r="L54">
        <f>Input_Data!K54</f>
        <v/>
      </c>
      <c r="M54">
        <f>Input_Data!L54</f>
        <v/>
      </c>
      <c r="N54">
        <f>IF(K54="","",K54-L54)</f>
        <v/>
      </c>
      <c r="O54">
        <f>IF(A54="","",IF(ABS(M54-N54)&lt;=1,"OK","CHECK"))</f>
        <v/>
      </c>
      <c r="P54">
        <f>IF(M54="","",IF(F54=0,99,M54/F54))</f>
        <v/>
      </c>
      <c r="Q54" s="2">
        <f>IF(P54="","",IF(COUNTA($P$2:$P$300)&lt;=1,0,PERCENTRANK.INC($P$2:$P$300,P54)))</f>
        <v/>
      </c>
      <c r="R54" s="2">
        <f>IF(A54="","",0.45*H54+0.35*Q54+0.20*J54)</f>
        <v/>
      </c>
      <c r="S54">
        <f>IF(G54="","",IF(G54&lt;=0.33,"Low Movement",IF(G54&lt;=0.66,"Medium Movement","High Movement")))</f>
        <v/>
      </c>
      <c r="T54">
        <f>IF(R54="","",IF(R54&gt;=0.67,"High Value Bundle",IF(R54&gt;=0.34,"Medium Value Bundle","Low Value Bundle")))</f>
        <v/>
      </c>
      <c r="U54">
        <f>IF(A54="","",IF(AND(G54&gt;=0.70,J54&gt;=0.70,M54&gt;0),"Yes","No"))</f>
        <v/>
      </c>
      <c r="V54">
        <f>IF(A54="","",IF(AND(S54="Low Movement",M54&gt;0,P54&gt;=2),"Yes","No"))</f>
        <v/>
      </c>
      <c r="W54" s="2">
        <f>IF(T54="","",MIN(0.12,IF(T54="High Value Bundle",0.05,IF(T54="Medium Value Bundle",0.07,0.10))+IF(P54&gt;=8,0.02,0)))</f>
        <v/>
      </c>
      <c r="X54">
        <f>IF(U54="Yes",C54&amp;"|anchor","")</f>
        <v/>
      </c>
      <c r="Y54">
        <f>IF(U54="Yes",B54,"")</f>
        <v/>
      </c>
    </row>
    <row r="55">
      <c r="A55">
        <f>Input_Data!C55</f>
        <v/>
      </c>
      <c r="B55">
        <f>Input_Data!A55</f>
        <v/>
      </c>
      <c r="C55">
        <f>Input_Data!B55</f>
        <v/>
      </c>
      <c r="D55">
        <f>Input_Data!D55</f>
        <v/>
      </c>
      <c r="E55">
        <f>IF(A55="","",SUM(Input_Data!E55:H55))</f>
        <v/>
      </c>
      <c r="F55">
        <f>IF(E55="","",E55/4)</f>
        <v/>
      </c>
      <c r="G55" s="2">
        <f>IF(E55="","",IF(COUNTA($E$2:$E$300)&lt;=1,0,PERCENTRANK.INC($E$2:$E$300,E55)))</f>
        <v/>
      </c>
      <c r="H55" s="2">
        <f>IF(G55="","",1-G55)</f>
        <v/>
      </c>
      <c r="I55" s="2">
        <f>Input_Data!I55</f>
        <v/>
      </c>
      <c r="J55" s="2">
        <f>IF(I55="","",IF(COUNTA($I$2:$I$300)&lt;=1,0,PERCENTRANK.INC($I$2:$I$300,I55)))</f>
        <v/>
      </c>
      <c r="K55">
        <f>Input_Data!J55</f>
        <v/>
      </c>
      <c r="L55">
        <f>Input_Data!K55</f>
        <v/>
      </c>
      <c r="M55">
        <f>Input_Data!L55</f>
        <v/>
      </c>
      <c r="N55">
        <f>IF(K55="","",K55-L55)</f>
        <v/>
      </c>
      <c r="O55">
        <f>IF(A55="","",IF(ABS(M55-N55)&lt;=1,"OK","CHECK"))</f>
        <v/>
      </c>
      <c r="P55">
        <f>IF(M55="","",IF(F55=0,99,M55/F55))</f>
        <v/>
      </c>
      <c r="Q55" s="2">
        <f>IF(P55="","",IF(COUNTA($P$2:$P$300)&lt;=1,0,PERCENTRANK.INC($P$2:$P$300,P55)))</f>
        <v/>
      </c>
      <c r="R55" s="2">
        <f>IF(A55="","",0.45*H55+0.35*Q55+0.20*J55)</f>
        <v/>
      </c>
      <c r="S55">
        <f>IF(G55="","",IF(G55&lt;=0.33,"Low Movement",IF(G55&lt;=0.66,"Medium Movement","High Movement")))</f>
        <v/>
      </c>
      <c r="T55">
        <f>IF(R55="","",IF(R55&gt;=0.67,"High Value Bundle",IF(R55&gt;=0.34,"Medium Value Bundle","Low Value Bundle")))</f>
        <v/>
      </c>
      <c r="U55">
        <f>IF(A55="","",IF(AND(G55&gt;=0.70,J55&gt;=0.70,M55&gt;0),"Yes","No"))</f>
        <v/>
      </c>
      <c r="V55">
        <f>IF(A55="","",IF(AND(S55="Low Movement",M55&gt;0,P55&gt;=2),"Yes","No"))</f>
        <v/>
      </c>
      <c r="W55" s="2">
        <f>IF(T55="","",MIN(0.12,IF(T55="High Value Bundle",0.05,IF(T55="Medium Value Bundle",0.07,0.10))+IF(P55&gt;=8,0.02,0)))</f>
        <v/>
      </c>
      <c r="X55">
        <f>IF(U55="Yes",C55&amp;"|anchor","")</f>
        <v/>
      </c>
      <c r="Y55">
        <f>IF(U55="Yes",B55,"")</f>
        <v/>
      </c>
    </row>
    <row r="56">
      <c r="A56">
        <f>Input_Data!C56</f>
        <v/>
      </c>
      <c r="B56">
        <f>Input_Data!A56</f>
        <v/>
      </c>
      <c r="C56">
        <f>Input_Data!B56</f>
        <v/>
      </c>
      <c r="D56">
        <f>Input_Data!D56</f>
        <v/>
      </c>
      <c r="E56">
        <f>IF(A56="","",SUM(Input_Data!E56:H56))</f>
        <v/>
      </c>
      <c r="F56">
        <f>IF(E56="","",E56/4)</f>
        <v/>
      </c>
      <c r="G56" s="2">
        <f>IF(E56="","",IF(COUNTA($E$2:$E$300)&lt;=1,0,PERCENTRANK.INC($E$2:$E$300,E56)))</f>
        <v/>
      </c>
      <c r="H56" s="2">
        <f>IF(G56="","",1-G56)</f>
        <v/>
      </c>
      <c r="I56" s="2">
        <f>Input_Data!I56</f>
        <v/>
      </c>
      <c r="J56" s="2">
        <f>IF(I56="","",IF(COUNTA($I$2:$I$300)&lt;=1,0,PERCENTRANK.INC($I$2:$I$300,I56)))</f>
        <v/>
      </c>
      <c r="K56">
        <f>Input_Data!J56</f>
        <v/>
      </c>
      <c r="L56">
        <f>Input_Data!K56</f>
        <v/>
      </c>
      <c r="M56">
        <f>Input_Data!L56</f>
        <v/>
      </c>
      <c r="N56">
        <f>IF(K56="","",K56-L56)</f>
        <v/>
      </c>
      <c r="O56">
        <f>IF(A56="","",IF(ABS(M56-N56)&lt;=1,"OK","CHECK"))</f>
        <v/>
      </c>
      <c r="P56">
        <f>IF(M56="","",IF(F56=0,99,M56/F56))</f>
        <v/>
      </c>
      <c r="Q56" s="2">
        <f>IF(P56="","",IF(COUNTA($P$2:$P$300)&lt;=1,0,PERCENTRANK.INC($P$2:$P$300,P56)))</f>
        <v/>
      </c>
      <c r="R56" s="2">
        <f>IF(A56="","",0.45*H56+0.35*Q56+0.20*J56)</f>
        <v/>
      </c>
      <c r="S56">
        <f>IF(G56="","",IF(G56&lt;=0.33,"Low Movement",IF(G56&lt;=0.66,"Medium Movement","High Movement")))</f>
        <v/>
      </c>
      <c r="T56">
        <f>IF(R56="","",IF(R56&gt;=0.67,"High Value Bundle",IF(R56&gt;=0.34,"Medium Value Bundle","Low Value Bundle")))</f>
        <v/>
      </c>
      <c r="U56">
        <f>IF(A56="","",IF(AND(G56&gt;=0.70,J56&gt;=0.70,M56&gt;0),"Yes","No"))</f>
        <v/>
      </c>
      <c r="V56">
        <f>IF(A56="","",IF(AND(S56="Low Movement",M56&gt;0,P56&gt;=2),"Yes","No"))</f>
        <v/>
      </c>
      <c r="W56" s="2">
        <f>IF(T56="","",MIN(0.12,IF(T56="High Value Bundle",0.05,IF(T56="Medium Value Bundle",0.07,0.10))+IF(P56&gt;=8,0.02,0)))</f>
        <v/>
      </c>
      <c r="X56">
        <f>IF(U56="Yes",C56&amp;"|anchor","")</f>
        <v/>
      </c>
      <c r="Y56">
        <f>IF(U56="Yes",B56,"")</f>
        <v/>
      </c>
    </row>
    <row r="57">
      <c r="A57">
        <f>Input_Data!C57</f>
        <v/>
      </c>
      <c r="B57">
        <f>Input_Data!A57</f>
        <v/>
      </c>
      <c r="C57">
        <f>Input_Data!B57</f>
        <v/>
      </c>
      <c r="D57">
        <f>Input_Data!D57</f>
        <v/>
      </c>
      <c r="E57">
        <f>IF(A57="","",SUM(Input_Data!E57:H57))</f>
        <v/>
      </c>
      <c r="F57">
        <f>IF(E57="","",E57/4)</f>
        <v/>
      </c>
      <c r="G57" s="2">
        <f>IF(E57="","",IF(COUNTA($E$2:$E$300)&lt;=1,0,PERCENTRANK.INC($E$2:$E$300,E57)))</f>
        <v/>
      </c>
      <c r="H57" s="2">
        <f>IF(G57="","",1-G57)</f>
        <v/>
      </c>
      <c r="I57" s="2">
        <f>Input_Data!I57</f>
        <v/>
      </c>
      <c r="J57" s="2">
        <f>IF(I57="","",IF(COUNTA($I$2:$I$300)&lt;=1,0,PERCENTRANK.INC($I$2:$I$300,I57)))</f>
        <v/>
      </c>
      <c r="K57">
        <f>Input_Data!J57</f>
        <v/>
      </c>
      <c r="L57">
        <f>Input_Data!K57</f>
        <v/>
      </c>
      <c r="M57">
        <f>Input_Data!L57</f>
        <v/>
      </c>
      <c r="N57">
        <f>IF(K57="","",K57-L57)</f>
        <v/>
      </c>
      <c r="O57">
        <f>IF(A57="","",IF(ABS(M57-N57)&lt;=1,"OK","CHECK"))</f>
        <v/>
      </c>
      <c r="P57">
        <f>IF(M57="","",IF(F57=0,99,M57/F57))</f>
        <v/>
      </c>
      <c r="Q57" s="2">
        <f>IF(P57="","",IF(COUNTA($P$2:$P$300)&lt;=1,0,PERCENTRANK.INC($P$2:$P$300,P57)))</f>
        <v/>
      </c>
      <c r="R57" s="2">
        <f>IF(A57="","",0.45*H57+0.35*Q57+0.20*J57)</f>
        <v/>
      </c>
      <c r="S57">
        <f>IF(G57="","",IF(G57&lt;=0.33,"Low Movement",IF(G57&lt;=0.66,"Medium Movement","High Movement")))</f>
        <v/>
      </c>
      <c r="T57">
        <f>IF(R57="","",IF(R57&gt;=0.67,"High Value Bundle",IF(R57&gt;=0.34,"Medium Value Bundle","Low Value Bundle")))</f>
        <v/>
      </c>
      <c r="U57">
        <f>IF(A57="","",IF(AND(G57&gt;=0.70,J57&gt;=0.70,M57&gt;0),"Yes","No"))</f>
        <v/>
      </c>
      <c r="V57">
        <f>IF(A57="","",IF(AND(S57="Low Movement",M57&gt;0,P57&gt;=2),"Yes","No"))</f>
        <v/>
      </c>
      <c r="W57" s="2">
        <f>IF(T57="","",MIN(0.12,IF(T57="High Value Bundle",0.05,IF(T57="Medium Value Bundle",0.07,0.10))+IF(P57&gt;=8,0.02,0)))</f>
        <v/>
      </c>
      <c r="X57">
        <f>IF(U57="Yes",C57&amp;"|anchor","")</f>
        <v/>
      </c>
      <c r="Y57">
        <f>IF(U57="Yes",B57,"")</f>
        <v/>
      </c>
    </row>
    <row r="58">
      <c r="A58">
        <f>Input_Data!C58</f>
        <v/>
      </c>
      <c r="B58">
        <f>Input_Data!A58</f>
        <v/>
      </c>
      <c r="C58">
        <f>Input_Data!B58</f>
        <v/>
      </c>
      <c r="D58">
        <f>Input_Data!D58</f>
        <v/>
      </c>
      <c r="E58">
        <f>IF(A58="","",SUM(Input_Data!E58:H58))</f>
        <v/>
      </c>
      <c r="F58">
        <f>IF(E58="","",E58/4)</f>
        <v/>
      </c>
      <c r="G58" s="2">
        <f>IF(E58="","",IF(COUNTA($E$2:$E$300)&lt;=1,0,PERCENTRANK.INC($E$2:$E$300,E58)))</f>
        <v/>
      </c>
      <c r="H58" s="2">
        <f>IF(G58="","",1-G58)</f>
        <v/>
      </c>
      <c r="I58" s="2">
        <f>Input_Data!I58</f>
        <v/>
      </c>
      <c r="J58" s="2">
        <f>IF(I58="","",IF(COUNTA($I$2:$I$300)&lt;=1,0,PERCENTRANK.INC($I$2:$I$300,I58)))</f>
        <v/>
      </c>
      <c r="K58">
        <f>Input_Data!J58</f>
        <v/>
      </c>
      <c r="L58">
        <f>Input_Data!K58</f>
        <v/>
      </c>
      <c r="M58">
        <f>Input_Data!L58</f>
        <v/>
      </c>
      <c r="N58">
        <f>IF(K58="","",K58-L58)</f>
        <v/>
      </c>
      <c r="O58">
        <f>IF(A58="","",IF(ABS(M58-N58)&lt;=1,"OK","CHECK"))</f>
        <v/>
      </c>
      <c r="P58">
        <f>IF(M58="","",IF(F58=0,99,M58/F58))</f>
        <v/>
      </c>
      <c r="Q58" s="2">
        <f>IF(P58="","",IF(COUNTA($P$2:$P$300)&lt;=1,0,PERCENTRANK.INC($P$2:$P$300,P58)))</f>
        <v/>
      </c>
      <c r="R58" s="2">
        <f>IF(A58="","",0.45*H58+0.35*Q58+0.20*J58)</f>
        <v/>
      </c>
      <c r="S58">
        <f>IF(G58="","",IF(G58&lt;=0.33,"Low Movement",IF(G58&lt;=0.66,"Medium Movement","High Movement")))</f>
        <v/>
      </c>
      <c r="T58">
        <f>IF(R58="","",IF(R58&gt;=0.67,"High Value Bundle",IF(R58&gt;=0.34,"Medium Value Bundle","Low Value Bundle")))</f>
        <v/>
      </c>
      <c r="U58">
        <f>IF(A58="","",IF(AND(G58&gt;=0.70,J58&gt;=0.70,M58&gt;0),"Yes","No"))</f>
        <v/>
      </c>
      <c r="V58">
        <f>IF(A58="","",IF(AND(S58="Low Movement",M58&gt;0,P58&gt;=2),"Yes","No"))</f>
        <v/>
      </c>
      <c r="W58" s="2">
        <f>IF(T58="","",MIN(0.12,IF(T58="High Value Bundle",0.05,IF(T58="Medium Value Bundle",0.07,0.10))+IF(P58&gt;=8,0.02,0)))</f>
        <v/>
      </c>
      <c r="X58">
        <f>IF(U58="Yes",C58&amp;"|anchor","")</f>
        <v/>
      </c>
      <c r="Y58">
        <f>IF(U58="Yes",B58,"")</f>
        <v/>
      </c>
    </row>
    <row r="59">
      <c r="A59">
        <f>Input_Data!C59</f>
        <v/>
      </c>
      <c r="B59">
        <f>Input_Data!A59</f>
        <v/>
      </c>
      <c r="C59">
        <f>Input_Data!B59</f>
        <v/>
      </c>
      <c r="D59">
        <f>Input_Data!D59</f>
        <v/>
      </c>
      <c r="E59">
        <f>IF(A59="","",SUM(Input_Data!E59:H59))</f>
        <v/>
      </c>
      <c r="F59">
        <f>IF(E59="","",E59/4)</f>
        <v/>
      </c>
      <c r="G59" s="2">
        <f>IF(E59="","",IF(COUNTA($E$2:$E$300)&lt;=1,0,PERCENTRANK.INC($E$2:$E$300,E59)))</f>
        <v/>
      </c>
      <c r="H59" s="2">
        <f>IF(G59="","",1-G59)</f>
        <v/>
      </c>
      <c r="I59" s="2">
        <f>Input_Data!I59</f>
        <v/>
      </c>
      <c r="J59" s="2">
        <f>IF(I59="","",IF(COUNTA($I$2:$I$300)&lt;=1,0,PERCENTRANK.INC($I$2:$I$300,I59)))</f>
        <v/>
      </c>
      <c r="K59">
        <f>Input_Data!J59</f>
        <v/>
      </c>
      <c r="L59">
        <f>Input_Data!K59</f>
        <v/>
      </c>
      <c r="M59">
        <f>Input_Data!L59</f>
        <v/>
      </c>
      <c r="N59">
        <f>IF(K59="","",K59-L59)</f>
        <v/>
      </c>
      <c r="O59">
        <f>IF(A59="","",IF(ABS(M59-N59)&lt;=1,"OK","CHECK"))</f>
        <v/>
      </c>
      <c r="P59">
        <f>IF(M59="","",IF(F59=0,99,M59/F59))</f>
        <v/>
      </c>
      <c r="Q59" s="2">
        <f>IF(P59="","",IF(COUNTA($P$2:$P$300)&lt;=1,0,PERCENTRANK.INC($P$2:$P$300,P59)))</f>
        <v/>
      </c>
      <c r="R59" s="2">
        <f>IF(A59="","",0.45*H59+0.35*Q59+0.20*J59)</f>
        <v/>
      </c>
      <c r="S59">
        <f>IF(G59="","",IF(G59&lt;=0.33,"Low Movement",IF(G59&lt;=0.66,"Medium Movement","High Movement")))</f>
        <v/>
      </c>
      <c r="T59">
        <f>IF(R59="","",IF(R59&gt;=0.67,"High Value Bundle",IF(R59&gt;=0.34,"Medium Value Bundle","Low Value Bundle")))</f>
        <v/>
      </c>
      <c r="U59">
        <f>IF(A59="","",IF(AND(G59&gt;=0.70,J59&gt;=0.70,M59&gt;0),"Yes","No"))</f>
        <v/>
      </c>
      <c r="V59">
        <f>IF(A59="","",IF(AND(S59="Low Movement",M59&gt;0,P59&gt;=2),"Yes","No"))</f>
        <v/>
      </c>
      <c r="W59" s="2">
        <f>IF(T59="","",MIN(0.12,IF(T59="High Value Bundle",0.05,IF(T59="Medium Value Bundle",0.07,0.10))+IF(P59&gt;=8,0.02,0)))</f>
        <v/>
      </c>
      <c r="X59">
        <f>IF(U59="Yes",C59&amp;"|anchor","")</f>
        <v/>
      </c>
      <c r="Y59">
        <f>IF(U59="Yes",B59,"")</f>
        <v/>
      </c>
    </row>
    <row r="60">
      <c r="A60">
        <f>Input_Data!C60</f>
        <v/>
      </c>
      <c r="B60">
        <f>Input_Data!A60</f>
        <v/>
      </c>
      <c r="C60">
        <f>Input_Data!B60</f>
        <v/>
      </c>
      <c r="D60">
        <f>Input_Data!D60</f>
        <v/>
      </c>
      <c r="E60">
        <f>IF(A60="","",SUM(Input_Data!E60:H60))</f>
        <v/>
      </c>
      <c r="F60">
        <f>IF(E60="","",E60/4)</f>
        <v/>
      </c>
      <c r="G60" s="2">
        <f>IF(E60="","",IF(COUNTA($E$2:$E$300)&lt;=1,0,PERCENTRANK.INC($E$2:$E$300,E60)))</f>
        <v/>
      </c>
      <c r="H60" s="2">
        <f>IF(G60="","",1-G60)</f>
        <v/>
      </c>
      <c r="I60" s="2">
        <f>Input_Data!I60</f>
        <v/>
      </c>
      <c r="J60" s="2">
        <f>IF(I60="","",IF(COUNTA($I$2:$I$300)&lt;=1,0,PERCENTRANK.INC($I$2:$I$300,I60)))</f>
        <v/>
      </c>
      <c r="K60">
        <f>Input_Data!J60</f>
        <v/>
      </c>
      <c r="L60">
        <f>Input_Data!K60</f>
        <v/>
      </c>
      <c r="M60">
        <f>Input_Data!L60</f>
        <v/>
      </c>
      <c r="N60">
        <f>IF(K60="","",K60-L60)</f>
        <v/>
      </c>
      <c r="O60">
        <f>IF(A60="","",IF(ABS(M60-N60)&lt;=1,"OK","CHECK"))</f>
        <v/>
      </c>
      <c r="P60">
        <f>IF(M60="","",IF(F60=0,99,M60/F60))</f>
        <v/>
      </c>
      <c r="Q60" s="2">
        <f>IF(P60="","",IF(COUNTA($P$2:$P$300)&lt;=1,0,PERCENTRANK.INC($P$2:$P$300,P60)))</f>
        <v/>
      </c>
      <c r="R60" s="2">
        <f>IF(A60="","",0.45*H60+0.35*Q60+0.20*J60)</f>
        <v/>
      </c>
      <c r="S60">
        <f>IF(G60="","",IF(G60&lt;=0.33,"Low Movement",IF(G60&lt;=0.66,"Medium Movement","High Movement")))</f>
        <v/>
      </c>
      <c r="T60">
        <f>IF(R60="","",IF(R60&gt;=0.67,"High Value Bundle",IF(R60&gt;=0.34,"Medium Value Bundle","Low Value Bundle")))</f>
        <v/>
      </c>
      <c r="U60">
        <f>IF(A60="","",IF(AND(G60&gt;=0.70,J60&gt;=0.70,M60&gt;0),"Yes","No"))</f>
        <v/>
      </c>
      <c r="V60">
        <f>IF(A60="","",IF(AND(S60="Low Movement",M60&gt;0,P60&gt;=2),"Yes","No"))</f>
        <v/>
      </c>
      <c r="W60" s="2">
        <f>IF(T60="","",MIN(0.12,IF(T60="High Value Bundle",0.05,IF(T60="Medium Value Bundle",0.07,0.10))+IF(P60&gt;=8,0.02,0)))</f>
        <v/>
      </c>
      <c r="X60">
        <f>IF(U60="Yes",C60&amp;"|anchor","")</f>
        <v/>
      </c>
      <c r="Y60">
        <f>IF(U60="Yes",B60,"")</f>
        <v/>
      </c>
    </row>
    <row r="61">
      <c r="A61">
        <f>Input_Data!C61</f>
        <v/>
      </c>
      <c r="B61">
        <f>Input_Data!A61</f>
        <v/>
      </c>
      <c r="C61">
        <f>Input_Data!B61</f>
        <v/>
      </c>
      <c r="D61">
        <f>Input_Data!D61</f>
        <v/>
      </c>
      <c r="E61">
        <f>IF(A61="","",SUM(Input_Data!E61:H61))</f>
        <v/>
      </c>
      <c r="F61">
        <f>IF(E61="","",E61/4)</f>
        <v/>
      </c>
      <c r="G61" s="2">
        <f>IF(E61="","",IF(COUNTA($E$2:$E$300)&lt;=1,0,PERCENTRANK.INC($E$2:$E$300,E61)))</f>
        <v/>
      </c>
      <c r="H61" s="2">
        <f>IF(G61="","",1-G61)</f>
        <v/>
      </c>
      <c r="I61" s="2">
        <f>Input_Data!I61</f>
        <v/>
      </c>
      <c r="J61" s="2">
        <f>IF(I61="","",IF(COUNTA($I$2:$I$300)&lt;=1,0,PERCENTRANK.INC($I$2:$I$300,I61)))</f>
        <v/>
      </c>
      <c r="K61">
        <f>Input_Data!J61</f>
        <v/>
      </c>
      <c r="L61">
        <f>Input_Data!K61</f>
        <v/>
      </c>
      <c r="M61">
        <f>Input_Data!L61</f>
        <v/>
      </c>
      <c r="N61">
        <f>IF(K61="","",K61-L61)</f>
        <v/>
      </c>
      <c r="O61">
        <f>IF(A61="","",IF(ABS(M61-N61)&lt;=1,"OK","CHECK"))</f>
        <v/>
      </c>
      <c r="P61">
        <f>IF(M61="","",IF(F61=0,99,M61/F61))</f>
        <v/>
      </c>
      <c r="Q61" s="2">
        <f>IF(P61="","",IF(COUNTA($P$2:$P$300)&lt;=1,0,PERCENTRANK.INC($P$2:$P$300,P61)))</f>
        <v/>
      </c>
      <c r="R61" s="2">
        <f>IF(A61="","",0.45*H61+0.35*Q61+0.20*J61)</f>
        <v/>
      </c>
      <c r="S61">
        <f>IF(G61="","",IF(G61&lt;=0.33,"Low Movement",IF(G61&lt;=0.66,"Medium Movement","High Movement")))</f>
        <v/>
      </c>
      <c r="T61">
        <f>IF(R61="","",IF(R61&gt;=0.67,"High Value Bundle",IF(R61&gt;=0.34,"Medium Value Bundle","Low Value Bundle")))</f>
        <v/>
      </c>
      <c r="U61">
        <f>IF(A61="","",IF(AND(G61&gt;=0.70,J61&gt;=0.70,M61&gt;0),"Yes","No"))</f>
        <v/>
      </c>
      <c r="V61">
        <f>IF(A61="","",IF(AND(S61="Low Movement",M61&gt;0,P61&gt;=2),"Yes","No"))</f>
        <v/>
      </c>
      <c r="W61" s="2">
        <f>IF(T61="","",MIN(0.12,IF(T61="High Value Bundle",0.05,IF(T61="Medium Value Bundle",0.07,0.10))+IF(P61&gt;=8,0.02,0)))</f>
        <v/>
      </c>
      <c r="X61">
        <f>IF(U61="Yes",C61&amp;"|anchor","")</f>
        <v/>
      </c>
      <c r="Y61">
        <f>IF(U61="Yes",B61,"")</f>
        <v/>
      </c>
    </row>
    <row r="62">
      <c r="A62">
        <f>Input_Data!C62</f>
        <v/>
      </c>
      <c r="B62">
        <f>Input_Data!A62</f>
        <v/>
      </c>
      <c r="C62">
        <f>Input_Data!B62</f>
        <v/>
      </c>
      <c r="D62">
        <f>Input_Data!D62</f>
        <v/>
      </c>
      <c r="E62">
        <f>IF(A62="","",SUM(Input_Data!E62:H62))</f>
        <v/>
      </c>
      <c r="F62">
        <f>IF(E62="","",E62/4)</f>
        <v/>
      </c>
      <c r="G62" s="2">
        <f>IF(E62="","",IF(COUNTA($E$2:$E$300)&lt;=1,0,PERCENTRANK.INC($E$2:$E$300,E62)))</f>
        <v/>
      </c>
      <c r="H62" s="2">
        <f>IF(G62="","",1-G62)</f>
        <v/>
      </c>
      <c r="I62" s="2">
        <f>Input_Data!I62</f>
        <v/>
      </c>
      <c r="J62" s="2">
        <f>IF(I62="","",IF(COUNTA($I$2:$I$300)&lt;=1,0,PERCENTRANK.INC($I$2:$I$300,I62)))</f>
        <v/>
      </c>
      <c r="K62">
        <f>Input_Data!J62</f>
        <v/>
      </c>
      <c r="L62">
        <f>Input_Data!K62</f>
        <v/>
      </c>
      <c r="M62">
        <f>Input_Data!L62</f>
        <v/>
      </c>
      <c r="N62">
        <f>IF(K62="","",K62-L62)</f>
        <v/>
      </c>
      <c r="O62">
        <f>IF(A62="","",IF(ABS(M62-N62)&lt;=1,"OK","CHECK"))</f>
        <v/>
      </c>
      <c r="P62">
        <f>IF(M62="","",IF(F62=0,99,M62/F62))</f>
        <v/>
      </c>
      <c r="Q62" s="2">
        <f>IF(P62="","",IF(COUNTA($P$2:$P$300)&lt;=1,0,PERCENTRANK.INC($P$2:$P$300,P62)))</f>
        <v/>
      </c>
      <c r="R62" s="2">
        <f>IF(A62="","",0.45*H62+0.35*Q62+0.20*J62)</f>
        <v/>
      </c>
      <c r="S62">
        <f>IF(G62="","",IF(G62&lt;=0.33,"Low Movement",IF(G62&lt;=0.66,"Medium Movement","High Movement")))</f>
        <v/>
      </c>
      <c r="T62">
        <f>IF(R62="","",IF(R62&gt;=0.67,"High Value Bundle",IF(R62&gt;=0.34,"Medium Value Bundle","Low Value Bundle")))</f>
        <v/>
      </c>
      <c r="U62">
        <f>IF(A62="","",IF(AND(G62&gt;=0.70,J62&gt;=0.70,M62&gt;0),"Yes","No"))</f>
        <v/>
      </c>
      <c r="V62">
        <f>IF(A62="","",IF(AND(S62="Low Movement",M62&gt;0,P62&gt;=2),"Yes","No"))</f>
        <v/>
      </c>
      <c r="W62" s="2">
        <f>IF(T62="","",MIN(0.12,IF(T62="High Value Bundle",0.05,IF(T62="Medium Value Bundle",0.07,0.10))+IF(P62&gt;=8,0.02,0)))</f>
        <v/>
      </c>
      <c r="X62">
        <f>IF(U62="Yes",C62&amp;"|anchor","")</f>
        <v/>
      </c>
      <c r="Y62">
        <f>IF(U62="Yes",B62,"")</f>
        <v/>
      </c>
    </row>
    <row r="63">
      <c r="A63">
        <f>Input_Data!C63</f>
        <v/>
      </c>
      <c r="B63">
        <f>Input_Data!A63</f>
        <v/>
      </c>
      <c r="C63">
        <f>Input_Data!B63</f>
        <v/>
      </c>
      <c r="D63">
        <f>Input_Data!D63</f>
        <v/>
      </c>
      <c r="E63">
        <f>IF(A63="","",SUM(Input_Data!E63:H63))</f>
        <v/>
      </c>
      <c r="F63">
        <f>IF(E63="","",E63/4)</f>
        <v/>
      </c>
      <c r="G63" s="2">
        <f>IF(E63="","",IF(COUNTA($E$2:$E$300)&lt;=1,0,PERCENTRANK.INC($E$2:$E$300,E63)))</f>
        <v/>
      </c>
      <c r="H63" s="2">
        <f>IF(G63="","",1-G63)</f>
        <v/>
      </c>
      <c r="I63" s="2">
        <f>Input_Data!I63</f>
        <v/>
      </c>
      <c r="J63" s="2">
        <f>IF(I63="","",IF(COUNTA($I$2:$I$300)&lt;=1,0,PERCENTRANK.INC($I$2:$I$300,I63)))</f>
        <v/>
      </c>
      <c r="K63">
        <f>Input_Data!J63</f>
        <v/>
      </c>
      <c r="L63">
        <f>Input_Data!K63</f>
        <v/>
      </c>
      <c r="M63">
        <f>Input_Data!L63</f>
        <v/>
      </c>
      <c r="N63">
        <f>IF(K63="","",K63-L63)</f>
        <v/>
      </c>
      <c r="O63">
        <f>IF(A63="","",IF(ABS(M63-N63)&lt;=1,"OK","CHECK"))</f>
        <v/>
      </c>
      <c r="P63">
        <f>IF(M63="","",IF(F63=0,99,M63/F63))</f>
        <v/>
      </c>
      <c r="Q63" s="2">
        <f>IF(P63="","",IF(COUNTA($P$2:$P$300)&lt;=1,0,PERCENTRANK.INC($P$2:$P$300,P63)))</f>
        <v/>
      </c>
      <c r="R63" s="2">
        <f>IF(A63="","",0.45*H63+0.35*Q63+0.20*J63)</f>
        <v/>
      </c>
      <c r="S63">
        <f>IF(G63="","",IF(G63&lt;=0.33,"Low Movement",IF(G63&lt;=0.66,"Medium Movement","High Movement")))</f>
        <v/>
      </c>
      <c r="T63">
        <f>IF(R63="","",IF(R63&gt;=0.67,"High Value Bundle",IF(R63&gt;=0.34,"Medium Value Bundle","Low Value Bundle")))</f>
        <v/>
      </c>
      <c r="U63">
        <f>IF(A63="","",IF(AND(G63&gt;=0.70,J63&gt;=0.70,M63&gt;0),"Yes","No"))</f>
        <v/>
      </c>
      <c r="V63">
        <f>IF(A63="","",IF(AND(S63="Low Movement",M63&gt;0,P63&gt;=2),"Yes","No"))</f>
        <v/>
      </c>
      <c r="W63" s="2">
        <f>IF(T63="","",MIN(0.12,IF(T63="High Value Bundle",0.05,IF(T63="Medium Value Bundle",0.07,0.10))+IF(P63&gt;=8,0.02,0)))</f>
        <v/>
      </c>
      <c r="X63">
        <f>IF(U63="Yes",C63&amp;"|anchor","")</f>
        <v/>
      </c>
      <c r="Y63">
        <f>IF(U63="Yes",B63,"")</f>
        <v/>
      </c>
    </row>
    <row r="64">
      <c r="A64">
        <f>Input_Data!C64</f>
        <v/>
      </c>
      <c r="B64">
        <f>Input_Data!A64</f>
        <v/>
      </c>
      <c r="C64">
        <f>Input_Data!B64</f>
        <v/>
      </c>
      <c r="D64">
        <f>Input_Data!D64</f>
        <v/>
      </c>
      <c r="E64">
        <f>IF(A64="","",SUM(Input_Data!E64:H64))</f>
        <v/>
      </c>
      <c r="F64">
        <f>IF(E64="","",E64/4)</f>
        <v/>
      </c>
      <c r="G64" s="2">
        <f>IF(E64="","",IF(COUNTA($E$2:$E$300)&lt;=1,0,PERCENTRANK.INC($E$2:$E$300,E64)))</f>
        <v/>
      </c>
      <c r="H64" s="2">
        <f>IF(G64="","",1-G64)</f>
        <v/>
      </c>
      <c r="I64" s="2">
        <f>Input_Data!I64</f>
        <v/>
      </c>
      <c r="J64" s="2">
        <f>IF(I64="","",IF(COUNTA($I$2:$I$300)&lt;=1,0,PERCENTRANK.INC($I$2:$I$300,I64)))</f>
        <v/>
      </c>
      <c r="K64">
        <f>Input_Data!J64</f>
        <v/>
      </c>
      <c r="L64">
        <f>Input_Data!K64</f>
        <v/>
      </c>
      <c r="M64">
        <f>Input_Data!L64</f>
        <v/>
      </c>
      <c r="N64">
        <f>IF(K64="","",K64-L64)</f>
        <v/>
      </c>
      <c r="O64">
        <f>IF(A64="","",IF(ABS(M64-N64)&lt;=1,"OK","CHECK"))</f>
        <v/>
      </c>
      <c r="P64">
        <f>IF(M64="","",IF(F64=0,99,M64/F64))</f>
        <v/>
      </c>
      <c r="Q64" s="2">
        <f>IF(P64="","",IF(COUNTA($P$2:$P$300)&lt;=1,0,PERCENTRANK.INC($P$2:$P$300,P64)))</f>
        <v/>
      </c>
      <c r="R64" s="2">
        <f>IF(A64="","",0.45*H64+0.35*Q64+0.20*J64)</f>
        <v/>
      </c>
      <c r="S64">
        <f>IF(G64="","",IF(G64&lt;=0.33,"Low Movement",IF(G64&lt;=0.66,"Medium Movement","High Movement")))</f>
        <v/>
      </c>
      <c r="T64">
        <f>IF(R64="","",IF(R64&gt;=0.67,"High Value Bundle",IF(R64&gt;=0.34,"Medium Value Bundle","Low Value Bundle")))</f>
        <v/>
      </c>
      <c r="U64">
        <f>IF(A64="","",IF(AND(G64&gt;=0.70,J64&gt;=0.70,M64&gt;0),"Yes","No"))</f>
        <v/>
      </c>
      <c r="V64">
        <f>IF(A64="","",IF(AND(S64="Low Movement",M64&gt;0,P64&gt;=2),"Yes","No"))</f>
        <v/>
      </c>
      <c r="W64" s="2">
        <f>IF(T64="","",MIN(0.12,IF(T64="High Value Bundle",0.05,IF(T64="Medium Value Bundle",0.07,0.10))+IF(P64&gt;=8,0.02,0)))</f>
        <v/>
      </c>
      <c r="X64">
        <f>IF(U64="Yes",C64&amp;"|anchor","")</f>
        <v/>
      </c>
      <c r="Y64">
        <f>IF(U64="Yes",B64,"")</f>
        <v/>
      </c>
    </row>
    <row r="65">
      <c r="A65">
        <f>Input_Data!C65</f>
        <v/>
      </c>
      <c r="B65">
        <f>Input_Data!A65</f>
        <v/>
      </c>
      <c r="C65">
        <f>Input_Data!B65</f>
        <v/>
      </c>
      <c r="D65">
        <f>Input_Data!D65</f>
        <v/>
      </c>
      <c r="E65">
        <f>IF(A65="","",SUM(Input_Data!E65:H65))</f>
        <v/>
      </c>
      <c r="F65">
        <f>IF(E65="","",E65/4)</f>
        <v/>
      </c>
      <c r="G65" s="2">
        <f>IF(E65="","",IF(COUNTA($E$2:$E$300)&lt;=1,0,PERCENTRANK.INC($E$2:$E$300,E65)))</f>
        <v/>
      </c>
      <c r="H65" s="2">
        <f>IF(G65="","",1-G65)</f>
        <v/>
      </c>
      <c r="I65" s="2">
        <f>Input_Data!I65</f>
        <v/>
      </c>
      <c r="J65" s="2">
        <f>IF(I65="","",IF(COUNTA($I$2:$I$300)&lt;=1,0,PERCENTRANK.INC($I$2:$I$300,I65)))</f>
        <v/>
      </c>
      <c r="K65">
        <f>Input_Data!J65</f>
        <v/>
      </c>
      <c r="L65">
        <f>Input_Data!K65</f>
        <v/>
      </c>
      <c r="M65">
        <f>Input_Data!L65</f>
        <v/>
      </c>
      <c r="N65">
        <f>IF(K65="","",K65-L65)</f>
        <v/>
      </c>
      <c r="O65">
        <f>IF(A65="","",IF(ABS(M65-N65)&lt;=1,"OK","CHECK"))</f>
        <v/>
      </c>
      <c r="P65">
        <f>IF(M65="","",IF(F65=0,99,M65/F65))</f>
        <v/>
      </c>
      <c r="Q65" s="2">
        <f>IF(P65="","",IF(COUNTA($P$2:$P$300)&lt;=1,0,PERCENTRANK.INC($P$2:$P$300,P65)))</f>
        <v/>
      </c>
      <c r="R65" s="2">
        <f>IF(A65="","",0.45*H65+0.35*Q65+0.20*J65)</f>
        <v/>
      </c>
      <c r="S65">
        <f>IF(G65="","",IF(G65&lt;=0.33,"Low Movement",IF(G65&lt;=0.66,"Medium Movement","High Movement")))</f>
        <v/>
      </c>
      <c r="T65">
        <f>IF(R65="","",IF(R65&gt;=0.67,"High Value Bundle",IF(R65&gt;=0.34,"Medium Value Bundle","Low Value Bundle")))</f>
        <v/>
      </c>
      <c r="U65">
        <f>IF(A65="","",IF(AND(G65&gt;=0.70,J65&gt;=0.70,M65&gt;0),"Yes","No"))</f>
        <v/>
      </c>
      <c r="V65">
        <f>IF(A65="","",IF(AND(S65="Low Movement",M65&gt;0,P65&gt;=2),"Yes","No"))</f>
        <v/>
      </c>
      <c r="W65" s="2">
        <f>IF(T65="","",MIN(0.12,IF(T65="High Value Bundle",0.05,IF(T65="Medium Value Bundle",0.07,0.10))+IF(P65&gt;=8,0.02,0)))</f>
        <v/>
      </c>
      <c r="X65">
        <f>IF(U65="Yes",C65&amp;"|anchor","")</f>
        <v/>
      </c>
      <c r="Y65">
        <f>IF(U65="Yes",B65,"")</f>
        <v/>
      </c>
    </row>
    <row r="66">
      <c r="A66">
        <f>Input_Data!C66</f>
        <v/>
      </c>
      <c r="B66">
        <f>Input_Data!A66</f>
        <v/>
      </c>
      <c r="C66">
        <f>Input_Data!B66</f>
        <v/>
      </c>
      <c r="D66">
        <f>Input_Data!D66</f>
        <v/>
      </c>
      <c r="E66">
        <f>IF(A66="","",SUM(Input_Data!E66:H66))</f>
        <v/>
      </c>
      <c r="F66">
        <f>IF(E66="","",E66/4)</f>
        <v/>
      </c>
      <c r="G66" s="2">
        <f>IF(E66="","",IF(COUNTA($E$2:$E$300)&lt;=1,0,PERCENTRANK.INC($E$2:$E$300,E66)))</f>
        <v/>
      </c>
      <c r="H66" s="2">
        <f>IF(G66="","",1-G66)</f>
        <v/>
      </c>
      <c r="I66" s="2">
        <f>Input_Data!I66</f>
        <v/>
      </c>
      <c r="J66" s="2">
        <f>IF(I66="","",IF(COUNTA($I$2:$I$300)&lt;=1,0,PERCENTRANK.INC($I$2:$I$300,I66)))</f>
        <v/>
      </c>
      <c r="K66">
        <f>Input_Data!J66</f>
        <v/>
      </c>
      <c r="L66">
        <f>Input_Data!K66</f>
        <v/>
      </c>
      <c r="M66">
        <f>Input_Data!L66</f>
        <v/>
      </c>
      <c r="N66">
        <f>IF(K66="","",K66-L66)</f>
        <v/>
      </c>
      <c r="O66">
        <f>IF(A66="","",IF(ABS(M66-N66)&lt;=1,"OK","CHECK"))</f>
        <v/>
      </c>
      <c r="P66">
        <f>IF(M66="","",IF(F66=0,99,M66/F66))</f>
        <v/>
      </c>
      <c r="Q66" s="2">
        <f>IF(P66="","",IF(COUNTA($P$2:$P$300)&lt;=1,0,PERCENTRANK.INC($P$2:$P$300,P66)))</f>
        <v/>
      </c>
      <c r="R66" s="2">
        <f>IF(A66="","",0.45*H66+0.35*Q66+0.20*J66)</f>
        <v/>
      </c>
      <c r="S66">
        <f>IF(G66="","",IF(G66&lt;=0.33,"Low Movement",IF(G66&lt;=0.66,"Medium Movement","High Movement")))</f>
        <v/>
      </c>
      <c r="T66">
        <f>IF(R66="","",IF(R66&gt;=0.67,"High Value Bundle",IF(R66&gt;=0.34,"Medium Value Bundle","Low Value Bundle")))</f>
        <v/>
      </c>
      <c r="U66">
        <f>IF(A66="","",IF(AND(G66&gt;=0.70,J66&gt;=0.70,M66&gt;0),"Yes","No"))</f>
        <v/>
      </c>
      <c r="V66">
        <f>IF(A66="","",IF(AND(S66="Low Movement",M66&gt;0,P66&gt;=2),"Yes","No"))</f>
        <v/>
      </c>
      <c r="W66" s="2">
        <f>IF(T66="","",MIN(0.12,IF(T66="High Value Bundle",0.05,IF(T66="Medium Value Bundle",0.07,0.10))+IF(P66&gt;=8,0.02,0)))</f>
        <v/>
      </c>
      <c r="X66">
        <f>IF(U66="Yes",C66&amp;"|anchor","")</f>
        <v/>
      </c>
      <c r="Y66">
        <f>IF(U66="Yes",B66,"")</f>
        <v/>
      </c>
    </row>
    <row r="67">
      <c r="A67">
        <f>Input_Data!C67</f>
        <v/>
      </c>
      <c r="B67">
        <f>Input_Data!A67</f>
        <v/>
      </c>
      <c r="C67">
        <f>Input_Data!B67</f>
        <v/>
      </c>
      <c r="D67">
        <f>Input_Data!D67</f>
        <v/>
      </c>
      <c r="E67">
        <f>IF(A67="","",SUM(Input_Data!E67:H67))</f>
        <v/>
      </c>
      <c r="F67">
        <f>IF(E67="","",E67/4)</f>
        <v/>
      </c>
      <c r="G67" s="2">
        <f>IF(E67="","",IF(COUNTA($E$2:$E$300)&lt;=1,0,PERCENTRANK.INC($E$2:$E$300,E67)))</f>
        <v/>
      </c>
      <c r="H67" s="2">
        <f>IF(G67="","",1-G67)</f>
        <v/>
      </c>
      <c r="I67" s="2">
        <f>Input_Data!I67</f>
        <v/>
      </c>
      <c r="J67" s="2">
        <f>IF(I67="","",IF(COUNTA($I$2:$I$300)&lt;=1,0,PERCENTRANK.INC($I$2:$I$300,I67)))</f>
        <v/>
      </c>
      <c r="K67">
        <f>Input_Data!J67</f>
        <v/>
      </c>
      <c r="L67">
        <f>Input_Data!K67</f>
        <v/>
      </c>
      <c r="M67">
        <f>Input_Data!L67</f>
        <v/>
      </c>
      <c r="N67">
        <f>IF(K67="","",K67-L67)</f>
        <v/>
      </c>
      <c r="O67">
        <f>IF(A67="","",IF(ABS(M67-N67)&lt;=1,"OK","CHECK"))</f>
        <v/>
      </c>
      <c r="P67">
        <f>IF(M67="","",IF(F67=0,99,M67/F67))</f>
        <v/>
      </c>
      <c r="Q67" s="2">
        <f>IF(P67="","",IF(COUNTA($P$2:$P$300)&lt;=1,0,PERCENTRANK.INC($P$2:$P$300,P67)))</f>
        <v/>
      </c>
      <c r="R67" s="2">
        <f>IF(A67="","",0.45*H67+0.35*Q67+0.20*J67)</f>
        <v/>
      </c>
      <c r="S67">
        <f>IF(G67="","",IF(G67&lt;=0.33,"Low Movement",IF(G67&lt;=0.66,"Medium Movement","High Movement")))</f>
        <v/>
      </c>
      <c r="T67">
        <f>IF(R67="","",IF(R67&gt;=0.67,"High Value Bundle",IF(R67&gt;=0.34,"Medium Value Bundle","Low Value Bundle")))</f>
        <v/>
      </c>
      <c r="U67">
        <f>IF(A67="","",IF(AND(G67&gt;=0.70,J67&gt;=0.70,M67&gt;0),"Yes","No"))</f>
        <v/>
      </c>
      <c r="V67">
        <f>IF(A67="","",IF(AND(S67="Low Movement",M67&gt;0,P67&gt;=2),"Yes","No"))</f>
        <v/>
      </c>
      <c r="W67" s="2">
        <f>IF(T67="","",MIN(0.12,IF(T67="High Value Bundle",0.05,IF(T67="Medium Value Bundle",0.07,0.10))+IF(P67&gt;=8,0.02,0)))</f>
        <v/>
      </c>
      <c r="X67">
        <f>IF(U67="Yes",C67&amp;"|anchor","")</f>
        <v/>
      </c>
      <c r="Y67">
        <f>IF(U67="Yes",B67,"")</f>
        <v/>
      </c>
    </row>
    <row r="68">
      <c r="A68">
        <f>Input_Data!C68</f>
        <v/>
      </c>
      <c r="B68">
        <f>Input_Data!A68</f>
        <v/>
      </c>
      <c r="C68">
        <f>Input_Data!B68</f>
        <v/>
      </c>
      <c r="D68">
        <f>Input_Data!D68</f>
        <v/>
      </c>
      <c r="E68">
        <f>IF(A68="","",SUM(Input_Data!E68:H68))</f>
        <v/>
      </c>
      <c r="F68">
        <f>IF(E68="","",E68/4)</f>
        <v/>
      </c>
      <c r="G68" s="2">
        <f>IF(E68="","",IF(COUNTA($E$2:$E$300)&lt;=1,0,PERCENTRANK.INC($E$2:$E$300,E68)))</f>
        <v/>
      </c>
      <c r="H68" s="2">
        <f>IF(G68="","",1-G68)</f>
        <v/>
      </c>
      <c r="I68" s="2">
        <f>Input_Data!I68</f>
        <v/>
      </c>
      <c r="J68" s="2">
        <f>IF(I68="","",IF(COUNTA($I$2:$I$300)&lt;=1,0,PERCENTRANK.INC($I$2:$I$300,I68)))</f>
        <v/>
      </c>
      <c r="K68">
        <f>Input_Data!J68</f>
        <v/>
      </c>
      <c r="L68">
        <f>Input_Data!K68</f>
        <v/>
      </c>
      <c r="M68">
        <f>Input_Data!L68</f>
        <v/>
      </c>
      <c r="N68">
        <f>IF(K68="","",K68-L68)</f>
        <v/>
      </c>
      <c r="O68">
        <f>IF(A68="","",IF(ABS(M68-N68)&lt;=1,"OK","CHECK"))</f>
        <v/>
      </c>
      <c r="P68">
        <f>IF(M68="","",IF(F68=0,99,M68/F68))</f>
        <v/>
      </c>
      <c r="Q68" s="2">
        <f>IF(P68="","",IF(COUNTA($P$2:$P$300)&lt;=1,0,PERCENTRANK.INC($P$2:$P$300,P68)))</f>
        <v/>
      </c>
      <c r="R68" s="2">
        <f>IF(A68="","",0.45*H68+0.35*Q68+0.20*J68)</f>
        <v/>
      </c>
      <c r="S68">
        <f>IF(G68="","",IF(G68&lt;=0.33,"Low Movement",IF(G68&lt;=0.66,"Medium Movement","High Movement")))</f>
        <v/>
      </c>
      <c r="T68">
        <f>IF(R68="","",IF(R68&gt;=0.67,"High Value Bundle",IF(R68&gt;=0.34,"Medium Value Bundle","Low Value Bundle")))</f>
        <v/>
      </c>
      <c r="U68">
        <f>IF(A68="","",IF(AND(G68&gt;=0.70,J68&gt;=0.70,M68&gt;0),"Yes","No"))</f>
        <v/>
      </c>
      <c r="V68">
        <f>IF(A68="","",IF(AND(S68="Low Movement",M68&gt;0,P68&gt;=2),"Yes","No"))</f>
        <v/>
      </c>
      <c r="W68" s="2">
        <f>IF(T68="","",MIN(0.12,IF(T68="High Value Bundle",0.05,IF(T68="Medium Value Bundle",0.07,0.10))+IF(P68&gt;=8,0.02,0)))</f>
        <v/>
      </c>
      <c r="X68">
        <f>IF(U68="Yes",C68&amp;"|anchor","")</f>
        <v/>
      </c>
      <c r="Y68">
        <f>IF(U68="Yes",B68,"")</f>
        <v/>
      </c>
    </row>
    <row r="69">
      <c r="A69">
        <f>Input_Data!C69</f>
        <v/>
      </c>
      <c r="B69">
        <f>Input_Data!A69</f>
        <v/>
      </c>
      <c r="C69">
        <f>Input_Data!B69</f>
        <v/>
      </c>
      <c r="D69">
        <f>Input_Data!D69</f>
        <v/>
      </c>
      <c r="E69">
        <f>IF(A69="","",SUM(Input_Data!E69:H69))</f>
        <v/>
      </c>
      <c r="F69">
        <f>IF(E69="","",E69/4)</f>
        <v/>
      </c>
      <c r="G69" s="2">
        <f>IF(E69="","",IF(COUNTA($E$2:$E$300)&lt;=1,0,PERCENTRANK.INC($E$2:$E$300,E69)))</f>
        <v/>
      </c>
      <c r="H69" s="2">
        <f>IF(G69="","",1-G69)</f>
        <v/>
      </c>
      <c r="I69" s="2">
        <f>Input_Data!I69</f>
        <v/>
      </c>
      <c r="J69" s="2">
        <f>IF(I69="","",IF(COUNTA($I$2:$I$300)&lt;=1,0,PERCENTRANK.INC($I$2:$I$300,I69)))</f>
        <v/>
      </c>
      <c r="K69">
        <f>Input_Data!J69</f>
        <v/>
      </c>
      <c r="L69">
        <f>Input_Data!K69</f>
        <v/>
      </c>
      <c r="M69">
        <f>Input_Data!L69</f>
        <v/>
      </c>
      <c r="N69">
        <f>IF(K69="","",K69-L69)</f>
        <v/>
      </c>
      <c r="O69">
        <f>IF(A69="","",IF(ABS(M69-N69)&lt;=1,"OK","CHECK"))</f>
        <v/>
      </c>
      <c r="P69">
        <f>IF(M69="","",IF(F69=0,99,M69/F69))</f>
        <v/>
      </c>
      <c r="Q69" s="2">
        <f>IF(P69="","",IF(COUNTA($P$2:$P$300)&lt;=1,0,PERCENTRANK.INC($P$2:$P$300,P69)))</f>
        <v/>
      </c>
      <c r="R69" s="2">
        <f>IF(A69="","",0.45*H69+0.35*Q69+0.20*J69)</f>
        <v/>
      </c>
      <c r="S69">
        <f>IF(G69="","",IF(G69&lt;=0.33,"Low Movement",IF(G69&lt;=0.66,"Medium Movement","High Movement")))</f>
        <v/>
      </c>
      <c r="T69">
        <f>IF(R69="","",IF(R69&gt;=0.67,"High Value Bundle",IF(R69&gt;=0.34,"Medium Value Bundle","Low Value Bundle")))</f>
        <v/>
      </c>
      <c r="U69">
        <f>IF(A69="","",IF(AND(G69&gt;=0.70,J69&gt;=0.70,M69&gt;0),"Yes","No"))</f>
        <v/>
      </c>
      <c r="V69">
        <f>IF(A69="","",IF(AND(S69="Low Movement",M69&gt;0,P69&gt;=2),"Yes","No"))</f>
        <v/>
      </c>
      <c r="W69" s="2">
        <f>IF(T69="","",MIN(0.12,IF(T69="High Value Bundle",0.05,IF(T69="Medium Value Bundle",0.07,0.10))+IF(P69&gt;=8,0.02,0)))</f>
        <v/>
      </c>
      <c r="X69">
        <f>IF(U69="Yes",C69&amp;"|anchor","")</f>
        <v/>
      </c>
      <c r="Y69">
        <f>IF(U69="Yes",B69,"")</f>
        <v/>
      </c>
    </row>
    <row r="70">
      <c r="A70">
        <f>Input_Data!C70</f>
        <v/>
      </c>
      <c r="B70">
        <f>Input_Data!A70</f>
        <v/>
      </c>
      <c r="C70">
        <f>Input_Data!B70</f>
        <v/>
      </c>
      <c r="D70">
        <f>Input_Data!D70</f>
        <v/>
      </c>
      <c r="E70">
        <f>IF(A70="","",SUM(Input_Data!E70:H70))</f>
        <v/>
      </c>
      <c r="F70">
        <f>IF(E70="","",E70/4)</f>
        <v/>
      </c>
      <c r="G70" s="2">
        <f>IF(E70="","",IF(COUNTA($E$2:$E$300)&lt;=1,0,PERCENTRANK.INC($E$2:$E$300,E70)))</f>
        <v/>
      </c>
      <c r="H70" s="2">
        <f>IF(G70="","",1-G70)</f>
        <v/>
      </c>
      <c r="I70" s="2">
        <f>Input_Data!I70</f>
        <v/>
      </c>
      <c r="J70" s="2">
        <f>IF(I70="","",IF(COUNTA($I$2:$I$300)&lt;=1,0,PERCENTRANK.INC($I$2:$I$300,I70)))</f>
        <v/>
      </c>
      <c r="K70">
        <f>Input_Data!J70</f>
        <v/>
      </c>
      <c r="L70">
        <f>Input_Data!K70</f>
        <v/>
      </c>
      <c r="M70">
        <f>Input_Data!L70</f>
        <v/>
      </c>
      <c r="N70">
        <f>IF(K70="","",K70-L70)</f>
        <v/>
      </c>
      <c r="O70">
        <f>IF(A70="","",IF(ABS(M70-N70)&lt;=1,"OK","CHECK"))</f>
        <v/>
      </c>
      <c r="P70">
        <f>IF(M70="","",IF(F70=0,99,M70/F70))</f>
        <v/>
      </c>
      <c r="Q70" s="2">
        <f>IF(P70="","",IF(COUNTA($P$2:$P$300)&lt;=1,0,PERCENTRANK.INC($P$2:$P$300,P70)))</f>
        <v/>
      </c>
      <c r="R70" s="2">
        <f>IF(A70="","",0.45*H70+0.35*Q70+0.20*J70)</f>
        <v/>
      </c>
      <c r="S70">
        <f>IF(G70="","",IF(G70&lt;=0.33,"Low Movement",IF(G70&lt;=0.66,"Medium Movement","High Movement")))</f>
        <v/>
      </c>
      <c r="T70">
        <f>IF(R70="","",IF(R70&gt;=0.67,"High Value Bundle",IF(R70&gt;=0.34,"Medium Value Bundle","Low Value Bundle")))</f>
        <v/>
      </c>
      <c r="U70">
        <f>IF(A70="","",IF(AND(G70&gt;=0.70,J70&gt;=0.70,M70&gt;0),"Yes","No"))</f>
        <v/>
      </c>
      <c r="V70">
        <f>IF(A70="","",IF(AND(S70="Low Movement",M70&gt;0,P70&gt;=2),"Yes","No"))</f>
        <v/>
      </c>
      <c r="W70" s="2">
        <f>IF(T70="","",MIN(0.12,IF(T70="High Value Bundle",0.05,IF(T70="Medium Value Bundle",0.07,0.10))+IF(P70&gt;=8,0.02,0)))</f>
        <v/>
      </c>
      <c r="X70">
        <f>IF(U70="Yes",C70&amp;"|anchor","")</f>
        <v/>
      </c>
      <c r="Y70">
        <f>IF(U70="Yes",B70,"")</f>
        <v/>
      </c>
    </row>
    <row r="71">
      <c r="A71">
        <f>Input_Data!C71</f>
        <v/>
      </c>
      <c r="B71">
        <f>Input_Data!A71</f>
        <v/>
      </c>
      <c r="C71">
        <f>Input_Data!B71</f>
        <v/>
      </c>
      <c r="D71">
        <f>Input_Data!D71</f>
        <v/>
      </c>
      <c r="E71">
        <f>IF(A71="","",SUM(Input_Data!E71:H71))</f>
        <v/>
      </c>
      <c r="F71">
        <f>IF(E71="","",E71/4)</f>
        <v/>
      </c>
      <c r="G71" s="2">
        <f>IF(E71="","",IF(COUNTA($E$2:$E$300)&lt;=1,0,PERCENTRANK.INC($E$2:$E$300,E71)))</f>
        <v/>
      </c>
      <c r="H71" s="2">
        <f>IF(G71="","",1-G71)</f>
        <v/>
      </c>
      <c r="I71" s="2">
        <f>Input_Data!I71</f>
        <v/>
      </c>
      <c r="J71" s="2">
        <f>IF(I71="","",IF(COUNTA($I$2:$I$300)&lt;=1,0,PERCENTRANK.INC($I$2:$I$300,I71)))</f>
        <v/>
      </c>
      <c r="K71">
        <f>Input_Data!J71</f>
        <v/>
      </c>
      <c r="L71">
        <f>Input_Data!K71</f>
        <v/>
      </c>
      <c r="M71">
        <f>Input_Data!L71</f>
        <v/>
      </c>
      <c r="N71">
        <f>IF(K71="","",K71-L71)</f>
        <v/>
      </c>
      <c r="O71">
        <f>IF(A71="","",IF(ABS(M71-N71)&lt;=1,"OK","CHECK"))</f>
        <v/>
      </c>
      <c r="P71">
        <f>IF(M71="","",IF(F71=0,99,M71/F71))</f>
        <v/>
      </c>
      <c r="Q71" s="2">
        <f>IF(P71="","",IF(COUNTA($P$2:$P$300)&lt;=1,0,PERCENTRANK.INC($P$2:$P$300,P71)))</f>
        <v/>
      </c>
      <c r="R71" s="2">
        <f>IF(A71="","",0.45*H71+0.35*Q71+0.20*J71)</f>
        <v/>
      </c>
      <c r="S71">
        <f>IF(G71="","",IF(G71&lt;=0.33,"Low Movement",IF(G71&lt;=0.66,"Medium Movement","High Movement")))</f>
        <v/>
      </c>
      <c r="T71">
        <f>IF(R71="","",IF(R71&gt;=0.67,"High Value Bundle",IF(R71&gt;=0.34,"Medium Value Bundle","Low Value Bundle")))</f>
        <v/>
      </c>
      <c r="U71">
        <f>IF(A71="","",IF(AND(G71&gt;=0.70,J71&gt;=0.70,M71&gt;0),"Yes","No"))</f>
        <v/>
      </c>
      <c r="V71">
        <f>IF(A71="","",IF(AND(S71="Low Movement",M71&gt;0,P71&gt;=2),"Yes","No"))</f>
        <v/>
      </c>
      <c r="W71" s="2">
        <f>IF(T71="","",MIN(0.12,IF(T71="High Value Bundle",0.05,IF(T71="Medium Value Bundle",0.07,0.10))+IF(P71&gt;=8,0.02,0)))</f>
        <v/>
      </c>
      <c r="X71">
        <f>IF(U71="Yes",C71&amp;"|anchor","")</f>
        <v/>
      </c>
      <c r="Y71">
        <f>IF(U71="Yes",B71,"")</f>
        <v/>
      </c>
    </row>
    <row r="72">
      <c r="A72">
        <f>Input_Data!C72</f>
        <v/>
      </c>
      <c r="B72">
        <f>Input_Data!A72</f>
        <v/>
      </c>
      <c r="C72">
        <f>Input_Data!B72</f>
        <v/>
      </c>
      <c r="D72">
        <f>Input_Data!D72</f>
        <v/>
      </c>
      <c r="E72">
        <f>IF(A72="","",SUM(Input_Data!E72:H72))</f>
        <v/>
      </c>
      <c r="F72">
        <f>IF(E72="","",E72/4)</f>
        <v/>
      </c>
      <c r="G72" s="2">
        <f>IF(E72="","",IF(COUNTA($E$2:$E$300)&lt;=1,0,PERCENTRANK.INC($E$2:$E$300,E72)))</f>
        <v/>
      </c>
      <c r="H72" s="2">
        <f>IF(G72="","",1-G72)</f>
        <v/>
      </c>
      <c r="I72" s="2">
        <f>Input_Data!I72</f>
        <v/>
      </c>
      <c r="J72" s="2">
        <f>IF(I72="","",IF(COUNTA($I$2:$I$300)&lt;=1,0,PERCENTRANK.INC($I$2:$I$300,I72)))</f>
        <v/>
      </c>
      <c r="K72">
        <f>Input_Data!J72</f>
        <v/>
      </c>
      <c r="L72">
        <f>Input_Data!K72</f>
        <v/>
      </c>
      <c r="M72">
        <f>Input_Data!L72</f>
        <v/>
      </c>
      <c r="N72">
        <f>IF(K72="","",K72-L72)</f>
        <v/>
      </c>
      <c r="O72">
        <f>IF(A72="","",IF(ABS(M72-N72)&lt;=1,"OK","CHECK"))</f>
        <v/>
      </c>
      <c r="P72">
        <f>IF(M72="","",IF(F72=0,99,M72/F72))</f>
        <v/>
      </c>
      <c r="Q72" s="2">
        <f>IF(P72="","",IF(COUNTA($P$2:$P$300)&lt;=1,0,PERCENTRANK.INC($P$2:$P$300,P72)))</f>
        <v/>
      </c>
      <c r="R72" s="2">
        <f>IF(A72="","",0.45*H72+0.35*Q72+0.20*J72)</f>
        <v/>
      </c>
      <c r="S72">
        <f>IF(G72="","",IF(G72&lt;=0.33,"Low Movement",IF(G72&lt;=0.66,"Medium Movement","High Movement")))</f>
        <v/>
      </c>
      <c r="T72">
        <f>IF(R72="","",IF(R72&gt;=0.67,"High Value Bundle",IF(R72&gt;=0.34,"Medium Value Bundle","Low Value Bundle")))</f>
        <v/>
      </c>
      <c r="U72">
        <f>IF(A72="","",IF(AND(G72&gt;=0.70,J72&gt;=0.70,M72&gt;0),"Yes","No"))</f>
        <v/>
      </c>
      <c r="V72">
        <f>IF(A72="","",IF(AND(S72="Low Movement",M72&gt;0,P72&gt;=2),"Yes","No"))</f>
        <v/>
      </c>
      <c r="W72" s="2">
        <f>IF(T72="","",MIN(0.12,IF(T72="High Value Bundle",0.05,IF(T72="Medium Value Bundle",0.07,0.10))+IF(P72&gt;=8,0.02,0)))</f>
        <v/>
      </c>
      <c r="X72">
        <f>IF(U72="Yes",C72&amp;"|anchor","")</f>
        <v/>
      </c>
      <c r="Y72">
        <f>IF(U72="Yes",B72,"")</f>
        <v/>
      </c>
    </row>
    <row r="73">
      <c r="A73">
        <f>Input_Data!C73</f>
        <v/>
      </c>
      <c r="B73">
        <f>Input_Data!A73</f>
        <v/>
      </c>
      <c r="C73">
        <f>Input_Data!B73</f>
        <v/>
      </c>
      <c r="D73">
        <f>Input_Data!D73</f>
        <v/>
      </c>
      <c r="E73">
        <f>IF(A73="","",SUM(Input_Data!E73:H73))</f>
        <v/>
      </c>
      <c r="F73">
        <f>IF(E73="","",E73/4)</f>
        <v/>
      </c>
      <c r="G73" s="2">
        <f>IF(E73="","",IF(COUNTA($E$2:$E$300)&lt;=1,0,PERCENTRANK.INC($E$2:$E$300,E73)))</f>
        <v/>
      </c>
      <c r="H73" s="2">
        <f>IF(G73="","",1-G73)</f>
        <v/>
      </c>
      <c r="I73" s="2">
        <f>Input_Data!I73</f>
        <v/>
      </c>
      <c r="J73" s="2">
        <f>IF(I73="","",IF(COUNTA($I$2:$I$300)&lt;=1,0,PERCENTRANK.INC($I$2:$I$300,I73)))</f>
        <v/>
      </c>
      <c r="K73">
        <f>Input_Data!J73</f>
        <v/>
      </c>
      <c r="L73">
        <f>Input_Data!K73</f>
        <v/>
      </c>
      <c r="M73">
        <f>Input_Data!L73</f>
        <v/>
      </c>
      <c r="N73">
        <f>IF(K73="","",K73-L73)</f>
        <v/>
      </c>
      <c r="O73">
        <f>IF(A73="","",IF(ABS(M73-N73)&lt;=1,"OK","CHECK"))</f>
        <v/>
      </c>
      <c r="P73">
        <f>IF(M73="","",IF(F73=0,99,M73/F73))</f>
        <v/>
      </c>
      <c r="Q73" s="2">
        <f>IF(P73="","",IF(COUNTA($P$2:$P$300)&lt;=1,0,PERCENTRANK.INC($P$2:$P$300,P73)))</f>
        <v/>
      </c>
      <c r="R73" s="2">
        <f>IF(A73="","",0.45*H73+0.35*Q73+0.20*J73)</f>
        <v/>
      </c>
      <c r="S73">
        <f>IF(G73="","",IF(G73&lt;=0.33,"Low Movement",IF(G73&lt;=0.66,"Medium Movement","High Movement")))</f>
        <v/>
      </c>
      <c r="T73">
        <f>IF(R73="","",IF(R73&gt;=0.67,"High Value Bundle",IF(R73&gt;=0.34,"Medium Value Bundle","Low Value Bundle")))</f>
        <v/>
      </c>
      <c r="U73">
        <f>IF(A73="","",IF(AND(G73&gt;=0.70,J73&gt;=0.70,M73&gt;0),"Yes","No"))</f>
        <v/>
      </c>
      <c r="V73">
        <f>IF(A73="","",IF(AND(S73="Low Movement",M73&gt;0,P73&gt;=2),"Yes","No"))</f>
        <v/>
      </c>
      <c r="W73" s="2">
        <f>IF(T73="","",MIN(0.12,IF(T73="High Value Bundle",0.05,IF(T73="Medium Value Bundle",0.07,0.10))+IF(P73&gt;=8,0.02,0)))</f>
        <v/>
      </c>
      <c r="X73">
        <f>IF(U73="Yes",C73&amp;"|anchor","")</f>
        <v/>
      </c>
      <c r="Y73">
        <f>IF(U73="Yes",B73,"")</f>
        <v/>
      </c>
    </row>
    <row r="74">
      <c r="A74">
        <f>Input_Data!C74</f>
        <v/>
      </c>
      <c r="B74">
        <f>Input_Data!A74</f>
        <v/>
      </c>
      <c r="C74">
        <f>Input_Data!B74</f>
        <v/>
      </c>
      <c r="D74">
        <f>Input_Data!D74</f>
        <v/>
      </c>
      <c r="E74">
        <f>IF(A74="","",SUM(Input_Data!E74:H74))</f>
        <v/>
      </c>
      <c r="F74">
        <f>IF(E74="","",E74/4)</f>
        <v/>
      </c>
      <c r="G74" s="2">
        <f>IF(E74="","",IF(COUNTA($E$2:$E$300)&lt;=1,0,PERCENTRANK.INC($E$2:$E$300,E74)))</f>
        <v/>
      </c>
      <c r="H74" s="2">
        <f>IF(G74="","",1-G74)</f>
        <v/>
      </c>
      <c r="I74" s="2">
        <f>Input_Data!I74</f>
        <v/>
      </c>
      <c r="J74" s="2">
        <f>IF(I74="","",IF(COUNTA($I$2:$I$300)&lt;=1,0,PERCENTRANK.INC($I$2:$I$300,I74)))</f>
        <v/>
      </c>
      <c r="K74">
        <f>Input_Data!J74</f>
        <v/>
      </c>
      <c r="L74">
        <f>Input_Data!K74</f>
        <v/>
      </c>
      <c r="M74">
        <f>Input_Data!L74</f>
        <v/>
      </c>
      <c r="N74">
        <f>IF(K74="","",K74-L74)</f>
        <v/>
      </c>
      <c r="O74">
        <f>IF(A74="","",IF(ABS(M74-N74)&lt;=1,"OK","CHECK"))</f>
        <v/>
      </c>
      <c r="P74">
        <f>IF(M74="","",IF(F74=0,99,M74/F74))</f>
        <v/>
      </c>
      <c r="Q74" s="2">
        <f>IF(P74="","",IF(COUNTA($P$2:$P$300)&lt;=1,0,PERCENTRANK.INC($P$2:$P$300,P74)))</f>
        <v/>
      </c>
      <c r="R74" s="2">
        <f>IF(A74="","",0.45*H74+0.35*Q74+0.20*J74)</f>
        <v/>
      </c>
      <c r="S74">
        <f>IF(G74="","",IF(G74&lt;=0.33,"Low Movement",IF(G74&lt;=0.66,"Medium Movement","High Movement")))</f>
        <v/>
      </c>
      <c r="T74">
        <f>IF(R74="","",IF(R74&gt;=0.67,"High Value Bundle",IF(R74&gt;=0.34,"Medium Value Bundle","Low Value Bundle")))</f>
        <v/>
      </c>
      <c r="U74">
        <f>IF(A74="","",IF(AND(G74&gt;=0.70,J74&gt;=0.70,M74&gt;0),"Yes","No"))</f>
        <v/>
      </c>
      <c r="V74">
        <f>IF(A74="","",IF(AND(S74="Low Movement",M74&gt;0,P74&gt;=2),"Yes","No"))</f>
        <v/>
      </c>
      <c r="W74" s="2">
        <f>IF(T74="","",MIN(0.12,IF(T74="High Value Bundle",0.05,IF(T74="Medium Value Bundle",0.07,0.10))+IF(P74&gt;=8,0.02,0)))</f>
        <v/>
      </c>
      <c r="X74">
        <f>IF(U74="Yes",C74&amp;"|anchor","")</f>
        <v/>
      </c>
      <c r="Y74">
        <f>IF(U74="Yes",B74,"")</f>
        <v/>
      </c>
    </row>
    <row r="75">
      <c r="A75">
        <f>Input_Data!C75</f>
        <v/>
      </c>
      <c r="B75">
        <f>Input_Data!A75</f>
        <v/>
      </c>
      <c r="C75">
        <f>Input_Data!B75</f>
        <v/>
      </c>
      <c r="D75">
        <f>Input_Data!D75</f>
        <v/>
      </c>
      <c r="E75">
        <f>IF(A75="","",SUM(Input_Data!E75:H75))</f>
        <v/>
      </c>
      <c r="F75">
        <f>IF(E75="","",E75/4)</f>
        <v/>
      </c>
      <c r="G75" s="2">
        <f>IF(E75="","",IF(COUNTA($E$2:$E$300)&lt;=1,0,PERCENTRANK.INC($E$2:$E$300,E75)))</f>
        <v/>
      </c>
      <c r="H75" s="2">
        <f>IF(G75="","",1-G75)</f>
        <v/>
      </c>
      <c r="I75" s="2">
        <f>Input_Data!I75</f>
        <v/>
      </c>
      <c r="J75" s="2">
        <f>IF(I75="","",IF(COUNTA($I$2:$I$300)&lt;=1,0,PERCENTRANK.INC($I$2:$I$300,I75)))</f>
        <v/>
      </c>
      <c r="K75">
        <f>Input_Data!J75</f>
        <v/>
      </c>
      <c r="L75">
        <f>Input_Data!K75</f>
        <v/>
      </c>
      <c r="M75">
        <f>Input_Data!L75</f>
        <v/>
      </c>
      <c r="N75">
        <f>IF(K75="","",K75-L75)</f>
        <v/>
      </c>
      <c r="O75">
        <f>IF(A75="","",IF(ABS(M75-N75)&lt;=1,"OK","CHECK"))</f>
        <v/>
      </c>
      <c r="P75">
        <f>IF(M75="","",IF(F75=0,99,M75/F75))</f>
        <v/>
      </c>
      <c r="Q75" s="2">
        <f>IF(P75="","",IF(COUNTA($P$2:$P$300)&lt;=1,0,PERCENTRANK.INC($P$2:$P$300,P75)))</f>
        <v/>
      </c>
      <c r="R75" s="2">
        <f>IF(A75="","",0.45*H75+0.35*Q75+0.20*J75)</f>
        <v/>
      </c>
      <c r="S75">
        <f>IF(G75="","",IF(G75&lt;=0.33,"Low Movement",IF(G75&lt;=0.66,"Medium Movement","High Movement")))</f>
        <v/>
      </c>
      <c r="T75">
        <f>IF(R75="","",IF(R75&gt;=0.67,"High Value Bundle",IF(R75&gt;=0.34,"Medium Value Bundle","Low Value Bundle")))</f>
        <v/>
      </c>
      <c r="U75">
        <f>IF(A75="","",IF(AND(G75&gt;=0.70,J75&gt;=0.70,M75&gt;0),"Yes","No"))</f>
        <v/>
      </c>
      <c r="V75">
        <f>IF(A75="","",IF(AND(S75="Low Movement",M75&gt;0,P75&gt;=2),"Yes","No"))</f>
        <v/>
      </c>
      <c r="W75" s="2">
        <f>IF(T75="","",MIN(0.12,IF(T75="High Value Bundle",0.05,IF(T75="Medium Value Bundle",0.07,0.10))+IF(P75&gt;=8,0.02,0)))</f>
        <v/>
      </c>
      <c r="X75">
        <f>IF(U75="Yes",C75&amp;"|anchor","")</f>
        <v/>
      </c>
      <c r="Y75">
        <f>IF(U75="Yes",B75,"")</f>
        <v/>
      </c>
    </row>
    <row r="76">
      <c r="A76">
        <f>Input_Data!C76</f>
        <v/>
      </c>
      <c r="B76">
        <f>Input_Data!A76</f>
        <v/>
      </c>
      <c r="C76">
        <f>Input_Data!B76</f>
        <v/>
      </c>
      <c r="D76">
        <f>Input_Data!D76</f>
        <v/>
      </c>
      <c r="E76">
        <f>IF(A76="","",SUM(Input_Data!E76:H76))</f>
        <v/>
      </c>
      <c r="F76">
        <f>IF(E76="","",E76/4)</f>
        <v/>
      </c>
      <c r="G76" s="2">
        <f>IF(E76="","",IF(COUNTA($E$2:$E$300)&lt;=1,0,PERCENTRANK.INC($E$2:$E$300,E76)))</f>
        <v/>
      </c>
      <c r="H76" s="2">
        <f>IF(G76="","",1-G76)</f>
        <v/>
      </c>
      <c r="I76" s="2">
        <f>Input_Data!I76</f>
        <v/>
      </c>
      <c r="J76" s="2">
        <f>IF(I76="","",IF(COUNTA($I$2:$I$300)&lt;=1,0,PERCENTRANK.INC($I$2:$I$300,I76)))</f>
        <v/>
      </c>
      <c r="K76">
        <f>Input_Data!J76</f>
        <v/>
      </c>
      <c r="L76">
        <f>Input_Data!K76</f>
        <v/>
      </c>
      <c r="M76">
        <f>Input_Data!L76</f>
        <v/>
      </c>
      <c r="N76">
        <f>IF(K76="","",K76-L76)</f>
        <v/>
      </c>
      <c r="O76">
        <f>IF(A76="","",IF(ABS(M76-N76)&lt;=1,"OK","CHECK"))</f>
        <v/>
      </c>
      <c r="P76">
        <f>IF(M76="","",IF(F76=0,99,M76/F76))</f>
        <v/>
      </c>
      <c r="Q76" s="2">
        <f>IF(P76="","",IF(COUNTA($P$2:$P$300)&lt;=1,0,PERCENTRANK.INC($P$2:$P$300,P76)))</f>
        <v/>
      </c>
      <c r="R76" s="2">
        <f>IF(A76="","",0.45*H76+0.35*Q76+0.20*J76)</f>
        <v/>
      </c>
      <c r="S76">
        <f>IF(G76="","",IF(G76&lt;=0.33,"Low Movement",IF(G76&lt;=0.66,"Medium Movement","High Movement")))</f>
        <v/>
      </c>
      <c r="T76">
        <f>IF(R76="","",IF(R76&gt;=0.67,"High Value Bundle",IF(R76&gt;=0.34,"Medium Value Bundle","Low Value Bundle")))</f>
        <v/>
      </c>
      <c r="U76">
        <f>IF(A76="","",IF(AND(G76&gt;=0.70,J76&gt;=0.70,M76&gt;0),"Yes","No"))</f>
        <v/>
      </c>
      <c r="V76">
        <f>IF(A76="","",IF(AND(S76="Low Movement",M76&gt;0,P76&gt;=2),"Yes","No"))</f>
        <v/>
      </c>
      <c r="W76" s="2">
        <f>IF(T76="","",MIN(0.12,IF(T76="High Value Bundle",0.05,IF(T76="Medium Value Bundle",0.07,0.10))+IF(P76&gt;=8,0.02,0)))</f>
        <v/>
      </c>
      <c r="X76">
        <f>IF(U76="Yes",C76&amp;"|anchor","")</f>
        <v/>
      </c>
      <c r="Y76">
        <f>IF(U76="Yes",B76,"")</f>
        <v/>
      </c>
    </row>
    <row r="77">
      <c r="A77">
        <f>Input_Data!C77</f>
        <v/>
      </c>
      <c r="B77">
        <f>Input_Data!A77</f>
        <v/>
      </c>
      <c r="C77">
        <f>Input_Data!B77</f>
        <v/>
      </c>
      <c r="D77">
        <f>Input_Data!D77</f>
        <v/>
      </c>
      <c r="E77">
        <f>IF(A77="","",SUM(Input_Data!E77:H77))</f>
        <v/>
      </c>
      <c r="F77">
        <f>IF(E77="","",E77/4)</f>
        <v/>
      </c>
      <c r="G77" s="2">
        <f>IF(E77="","",IF(COUNTA($E$2:$E$300)&lt;=1,0,PERCENTRANK.INC($E$2:$E$300,E77)))</f>
        <v/>
      </c>
      <c r="H77" s="2">
        <f>IF(G77="","",1-G77)</f>
        <v/>
      </c>
      <c r="I77" s="2">
        <f>Input_Data!I77</f>
        <v/>
      </c>
      <c r="J77" s="2">
        <f>IF(I77="","",IF(COUNTA($I$2:$I$300)&lt;=1,0,PERCENTRANK.INC($I$2:$I$300,I77)))</f>
        <v/>
      </c>
      <c r="K77">
        <f>Input_Data!J77</f>
        <v/>
      </c>
      <c r="L77">
        <f>Input_Data!K77</f>
        <v/>
      </c>
      <c r="M77">
        <f>Input_Data!L77</f>
        <v/>
      </c>
      <c r="N77">
        <f>IF(K77="","",K77-L77)</f>
        <v/>
      </c>
      <c r="O77">
        <f>IF(A77="","",IF(ABS(M77-N77)&lt;=1,"OK","CHECK"))</f>
        <v/>
      </c>
      <c r="P77">
        <f>IF(M77="","",IF(F77=0,99,M77/F77))</f>
        <v/>
      </c>
      <c r="Q77" s="2">
        <f>IF(P77="","",IF(COUNTA($P$2:$P$300)&lt;=1,0,PERCENTRANK.INC($P$2:$P$300,P77)))</f>
        <v/>
      </c>
      <c r="R77" s="2">
        <f>IF(A77="","",0.45*H77+0.35*Q77+0.20*J77)</f>
        <v/>
      </c>
      <c r="S77">
        <f>IF(G77="","",IF(G77&lt;=0.33,"Low Movement",IF(G77&lt;=0.66,"Medium Movement","High Movement")))</f>
        <v/>
      </c>
      <c r="T77">
        <f>IF(R77="","",IF(R77&gt;=0.67,"High Value Bundle",IF(R77&gt;=0.34,"Medium Value Bundle","Low Value Bundle")))</f>
        <v/>
      </c>
      <c r="U77">
        <f>IF(A77="","",IF(AND(G77&gt;=0.70,J77&gt;=0.70,M77&gt;0),"Yes","No"))</f>
        <v/>
      </c>
      <c r="V77">
        <f>IF(A77="","",IF(AND(S77="Low Movement",M77&gt;0,P77&gt;=2),"Yes","No"))</f>
        <v/>
      </c>
      <c r="W77" s="2">
        <f>IF(T77="","",MIN(0.12,IF(T77="High Value Bundle",0.05,IF(T77="Medium Value Bundle",0.07,0.10))+IF(P77&gt;=8,0.02,0)))</f>
        <v/>
      </c>
      <c r="X77">
        <f>IF(U77="Yes",C77&amp;"|anchor","")</f>
        <v/>
      </c>
      <c r="Y77">
        <f>IF(U77="Yes",B77,"")</f>
        <v/>
      </c>
    </row>
    <row r="78">
      <c r="A78">
        <f>Input_Data!C78</f>
        <v/>
      </c>
      <c r="B78">
        <f>Input_Data!A78</f>
        <v/>
      </c>
      <c r="C78">
        <f>Input_Data!B78</f>
        <v/>
      </c>
      <c r="D78">
        <f>Input_Data!D78</f>
        <v/>
      </c>
      <c r="E78">
        <f>IF(A78="","",SUM(Input_Data!E78:H78))</f>
        <v/>
      </c>
      <c r="F78">
        <f>IF(E78="","",E78/4)</f>
        <v/>
      </c>
      <c r="G78" s="2">
        <f>IF(E78="","",IF(COUNTA($E$2:$E$300)&lt;=1,0,PERCENTRANK.INC($E$2:$E$300,E78)))</f>
        <v/>
      </c>
      <c r="H78" s="2">
        <f>IF(G78="","",1-G78)</f>
        <v/>
      </c>
      <c r="I78" s="2">
        <f>Input_Data!I78</f>
        <v/>
      </c>
      <c r="J78" s="2">
        <f>IF(I78="","",IF(COUNTA($I$2:$I$300)&lt;=1,0,PERCENTRANK.INC($I$2:$I$300,I78)))</f>
        <v/>
      </c>
      <c r="K78">
        <f>Input_Data!J78</f>
        <v/>
      </c>
      <c r="L78">
        <f>Input_Data!K78</f>
        <v/>
      </c>
      <c r="M78">
        <f>Input_Data!L78</f>
        <v/>
      </c>
      <c r="N78">
        <f>IF(K78="","",K78-L78)</f>
        <v/>
      </c>
      <c r="O78">
        <f>IF(A78="","",IF(ABS(M78-N78)&lt;=1,"OK","CHECK"))</f>
        <v/>
      </c>
      <c r="P78">
        <f>IF(M78="","",IF(F78=0,99,M78/F78))</f>
        <v/>
      </c>
      <c r="Q78" s="2">
        <f>IF(P78="","",IF(COUNTA($P$2:$P$300)&lt;=1,0,PERCENTRANK.INC($P$2:$P$300,P78)))</f>
        <v/>
      </c>
      <c r="R78" s="2">
        <f>IF(A78="","",0.45*H78+0.35*Q78+0.20*J78)</f>
        <v/>
      </c>
      <c r="S78">
        <f>IF(G78="","",IF(G78&lt;=0.33,"Low Movement",IF(G78&lt;=0.66,"Medium Movement","High Movement")))</f>
        <v/>
      </c>
      <c r="T78">
        <f>IF(R78="","",IF(R78&gt;=0.67,"High Value Bundle",IF(R78&gt;=0.34,"Medium Value Bundle","Low Value Bundle")))</f>
        <v/>
      </c>
      <c r="U78">
        <f>IF(A78="","",IF(AND(G78&gt;=0.70,J78&gt;=0.70,M78&gt;0),"Yes","No"))</f>
        <v/>
      </c>
      <c r="V78">
        <f>IF(A78="","",IF(AND(S78="Low Movement",M78&gt;0,P78&gt;=2),"Yes","No"))</f>
        <v/>
      </c>
      <c r="W78" s="2">
        <f>IF(T78="","",MIN(0.12,IF(T78="High Value Bundle",0.05,IF(T78="Medium Value Bundle",0.07,0.10))+IF(P78&gt;=8,0.02,0)))</f>
        <v/>
      </c>
      <c r="X78">
        <f>IF(U78="Yes",C78&amp;"|anchor","")</f>
        <v/>
      </c>
      <c r="Y78">
        <f>IF(U78="Yes",B78,"")</f>
        <v/>
      </c>
    </row>
    <row r="79">
      <c r="A79">
        <f>Input_Data!C79</f>
        <v/>
      </c>
      <c r="B79">
        <f>Input_Data!A79</f>
        <v/>
      </c>
      <c r="C79">
        <f>Input_Data!B79</f>
        <v/>
      </c>
      <c r="D79">
        <f>Input_Data!D79</f>
        <v/>
      </c>
      <c r="E79">
        <f>IF(A79="","",SUM(Input_Data!E79:H79))</f>
        <v/>
      </c>
      <c r="F79">
        <f>IF(E79="","",E79/4)</f>
        <v/>
      </c>
      <c r="G79" s="2">
        <f>IF(E79="","",IF(COUNTA($E$2:$E$300)&lt;=1,0,PERCENTRANK.INC($E$2:$E$300,E79)))</f>
        <v/>
      </c>
      <c r="H79" s="2">
        <f>IF(G79="","",1-G79)</f>
        <v/>
      </c>
      <c r="I79" s="2">
        <f>Input_Data!I79</f>
        <v/>
      </c>
      <c r="J79" s="2">
        <f>IF(I79="","",IF(COUNTA($I$2:$I$300)&lt;=1,0,PERCENTRANK.INC($I$2:$I$300,I79)))</f>
        <v/>
      </c>
      <c r="K79">
        <f>Input_Data!J79</f>
        <v/>
      </c>
      <c r="L79">
        <f>Input_Data!K79</f>
        <v/>
      </c>
      <c r="M79">
        <f>Input_Data!L79</f>
        <v/>
      </c>
      <c r="N79">
        <f>IF(K79="","",K79-L79)</f>
        <v/>
      </c>
      <c r="O79">
        <f>IF(A79="","",IF(ABS(M79-N79)&lt;=1,"OK","CHECK"))</f>
        <v/>
      </c>
      <c r="P79">
        <f>IF(M79="","",IF(F79=0,99,M79/F79))</f>
        <v/>
      </c>
      <c r="Q79" s="2">
        <f>IF(P79="","",IF(COUNTA($P$2:$P$300)&lt;=1,0,PERCENTRANK.INC($P$2:$P$300,P79)))</f>
        <v/>
      </c>
      <c r="R79" s="2">
        <f>IF(A79="","",0.45*H79+0.35*Q79+0.20*J79)</f>
        <v/>
      </c>
      <c r="S79">
        <f>IF(G79="","",IF(G79&lt;=0.33,"Low Movement",IF(G79&lt;=0.66,"Medium Movement","High Movement")))</f>
        <v/>
      </c>
      <c r="T79">
        <f>IF(R79="","",IF(R79&gt;=0.67,"High Value Bundle",IF(R79&gt;=0.34,"Medium Value Bundle","Low Value Bundle")))</f>
        <v/>
      </c>
      <c r="U79">
        <f>IF(A79="","",IF(AND(G79&gt;=0.70,J79&gt;=0.70,M79&gt;0),"Yes","No"))</f>
        <v/>
      </c>
      <c r="V79">
        <f>IF(A79="","",IF(AND(S79="Low Movement",M79&gt;0,P79&gt;=2),"Yes","No"))</f>
        <v/>
      </c>
      <c r="W79" s="2">
        <f>IF(T79="","",MIN(0.12,IF(T79="High Value Bundle",0.05,IF(T79="Medium Value Bundle",0.07,0.10))+IF(P79&gt;=8,0.02,0)))</f>
        <v/>
      </c>
      <c r="X79">
        <f>IF(U79="Yes",C79&amp;"|anchor","")</f>
        <v/>
      </c>
      <c r="Y79">
        <f>IF(U79="Yes",B79,"")</f>
        <v/>
      </c>
    </row>
    <row r="80">
      <c r="A80">
        <f>Input_Data!C80</f>
        <v/>
      </c>
      <c r="B80">
        <f>Input_Data!A80</f>
        <v/>
      </c>
      <c r="C80">
        <f>Input_Data!B80</f>
        <v/>
      </c>
      <c r="D80">
        <f>Input_Data!D80</f>
        <v/>
      </c>
      <c r="E80">
        <f>IF(A80="","",SUM(Input_Data!E80:H80))</f>
        <v/>
      </c>
      <c r="F80">
        <f>IF(E80="","",E80/4)</f>
        <v/>
      </c>
      <c r="G80" s="2">
        <f>IF(E80="","",IF(COUNTA($E$2:$E$300)&lt;=1,0,PERCENTRANK.INC($E$2:$E$300,E80)))</f>
        <v/>
      </c>
      <c r="H80" s="2">
        <f>IF(G80="","",1-G80)</f>
        <v/>
      </c>
      <c r="I80" s="2">
        <f>Input_Data!I80</f>
        <v/>
      </c>
      <c r="J80" s="2">
        <f>IF(I80="","",IF(COUNTA($I$2:$I$300)&lt;=1,0,PERCENTRANK.INC($I$2:$I$300,I80)))</f>
        <v/>
      </c>
      <c r="K80">
        <f>Input_Data!J80</f>
        <v/>
      </c>
      <c r="L80">
        <f>Input_Data!K80</f>
        <v/>
      </c>
      <c r="M80">
        <f>Input_Data!L80</f>
        <v/>
      </c>
      <c r="N80">
        <f>IF(K80="","",K80-L80)</f>
        <v/>
      </c>
      <c r="O80">
        <f>IF(A80="","",IF(ABS(M80-N80)&lt;=1,"OK","CHECK"))</f>
        <v/>
      </c>
      <c r="P80">
        <f>IF(M80="","",IF(F80=0,99,M80/F80))</f>
        <v/>
      </c>
      <c r="Q80" s="2">
        <f>IF(P80="","",IF(COUNTA($P$2:$P$300)&lt;=1,0,PERCENTRANK.INC($P$2:$P$300,P80)))</f>
        <v/>
      </c>
      <c r="R80" s="2">
        <f>IF(A80="","",0.45*H80+0.35*Q80+0.20*J80)</f>
        <v/>
      </c>
      <c r="S80">
        <f>IF(G80="","",IF(G80&lt;=0.33,"Low Movement",IF(G80&lt;=0.66,"Medium Movement","High Movement")))</f>
        <v/>
      </c>
      <c r="T80">
        <f>IF(R80="","",IF(R80&gt;=0.67,"High Value Bundle",IF(R80&gt;=0.34,"Medium Value Bundle","Low Value Bundle")))</f>
        <v/>
      </c>
      <c r="U80">
        <f>IF(A80="","",IF(AND(G80&gt;=0.70,J80&gt;=0.70,M80&gt;0),"Yes","No"))</f>
        <v/>
      </c>
      <c r="V80">
        <f>IF(A80="","",IF(AND(S80="Low Movement",M80&gt;0,P80&gt;=2),"Yes","No"))</f>
        <v/>
      </c>
      <c r="W80" s="2">
        <f>IF(T80="","",MIN(0.12,IF(T80="High Value Bundle",0.05,IF(T80="Medium Value Bundle",0.07,0.10))+IF(P80&gt;=8,0.02,0)))</f>
        <v/>
      </c>
      <c r="X80">
        <f>IF(U80="Yes",C80&amp;"|anchor","")</f>
        <v/>
      </c>
      <c r="Y80">
        <f>IF(U80="Yes",B80,"")</f>
        <v/>
      </c>
    </row>
    <row r="81">
      <c r="A81">
        <f>Input_Data!C81</f>
        <v/>
      </c>
      <c r="B81">
        <f>Input_Data!A81</f>
        <v/>
      </c>
      <c r="C81">
        <f>Input_Data!B81</f>
        <v/>
      </c>
      <c r="D81">
        <f>Input_Data!D81</f>
        <v/>
      </c>
      <c r="E81">
        <f>IF(A81="","",SUM(Input_Data!E81:H81))</f>
        <v/>
      </c>
      <c r="F81">
        <f>IF(E81="","",E81/4)</f>
        <v/>
      </c>
      <c r="G81" s="2">
        <f>IF(E81="","",IF(COUNTA($E$2:$E$300)&lt;=1,0,PERCENTRANK.INC($E$2:$E$300,E81)))</f>
        <v/>
      </c>
      <c r="H81" s="2">
        <f>IF(G81="","",1-G81)</f>
        <v/>
      </c>
      <c r="I81" s="2">
        <f>Input_Data!I81</f>
        <v/>
      </c>
      <c r="J81" s="2">
        <f>IF(I81="","",IF(COUNTA($I$2:$I$300)&lt;=1,0,PERCENTRANK.INC($I$2:$I$300,I81)))</f>
        <v/>
      </c>
      <c r="K81">
        <f>Input_Data!J81</f>
        <v/>
      </c>
      <c r="L81">
        <f>Input_Data!K81</f>
        <v/>
      </c>
      <c r="M81">
        <f>Input_Data!L81</f>
        <v/>
      </c>
      <c r="N81">
        <f>IF(K81="","",K81-L81)</f>
        <v/>
      </c>
      <c r="O81">
        <f>IF(A81="","",IF(ABS(M81-N81)&lt;=1,"OK","CHECK"))</f>
        <v/>
      </c>
      <c r="P81">
        <f>IF(M81="","",IF(F81=0,99,M81/F81))</f>
        <v/>
      </c>
      <c r="Q81" s="2">
        <f>IF(P81="","",IF(COUNTA($P$2:$P$300)&lt;=1,0,PERCENTRANK.INC($P$2:$P$300,P81)))</f>
        <v/>
      </c>
      <c r="R81" s="2">
        <f>IF(A81="","",0.45*H81+0.35*Q81+0.20*J81)</f>
        <v/>
      </c>
      <c r="S81">
        <f>IF(G81="","",IF(G81&lt;=0.33,"Low Movement",IF(G81&lt;=0.66,"Medium Movement","High Movement")))</f>
        <v/>
      </c>
      <c r="T81">
        <f>IF(R81="","",IF(R81&gt;=0.67,"High Value Bundle",IF(R81&gt;=0.34,"Medium Value Bundle","Low Value Bundle")))</f>
        <v/>
      </c>
      <c r="U81">
        <f>IF(A81="","",IF(AND(G81&gt;=0.70,J81&gt;=0.70,M81&gt;0),"Yes","No"))</f>
        <v/>
      </c>
      <c r="V81">
        <f>IF(A81="","",IF(AND(S81="Low Movement",M81&gt;0,P81&gt;=2),"Yes","No"))</f>
        <v/>
      </c>
      <c r="W81" s="2">
        <f>IF(T81="","",MIN(0.12,IF(T81="High Value Bundle",0.05,IF(T81="Medium Value Bundle",0.07,0.10))+IF(P81&gt;=8,0.02,0)))</f>
        <v/>
      </c>
      <c r="X81">
        <f>IF(U81="Yes",C81&amp;"|anchor","")</f>
        <v/>
      </c>
      <c r="Y81">
        <f>IF(U81="Yes",B81,"")</f>
        <v/>
      </c>
    </row>
    <row r="82">
      <c r="A82">
        <f>Input_Data!C82</f>
        <v/>
      </c>
      <c r="B82">
        <f>Input_Data!A82</f>
        <v/>
      </c>
      <c r="C82">
        <f>Input_Data!B82</f>
        <v/>
      </c>
      <c r="D82">
        <f>Input_Data!D82</f>
        <v/>
      </c>
      <c r="E82">
        <f>IF(A82="","",SUM(Input_Data!E82:H82))</f>
        <v/>
      </c>
      <c r="F82">
        <f>IF(E82="","",E82/4)</f>
        <v/>
      </c>
      <c r="G82" s="2">
        <f>IF(E82="","",IF(COUNTA($E$2:$E$300)&lt;=1,0,PERCENTRANK.INC($E$2:$E$300,E82)))</f>
        <v/>
      </c>
      <c r="H82" s="2">
        <f>IF(G82="","",1-G82)</f>
        <v/>
      </c>
      <c r="I82" s="2">
        <f>Input_Data!I82</f>
        <v/>
      </c>
      <c r="J82" s="2">
        <f>IF(I82="","",IF(COUNTA($I$2:$I$300)&lt;=1,0,PERCENTRANK.INC($I$2:$I$300,I82)))</f>
        <v/>
      </c>
      <c r="K82">
        <f>Input_Data!J82</f>
        <v/>
      </c>
      <c r="L82">
        <f>Input_Data!K82</f>
        <v/>
      </c>
      <c r="M82">
        <f>Input_Data!L82</f>
        <v/>
      </c>
      <c r="N82">
        <f>IF(K82="","",K82-L82)</f>
        <v/>
      </c>
      <c r="O82">
        <f>IF(A82="","",IF(ABS(M82-N82)&lt;=1,"OK","CHECK"))</f>
        <v/>
      </c>
      <c r="P82">
        <f>IF(M82="","",IF(F82=0,99,M82/F82))</f>
        <v/>
      </c>
      <c r="Q82" s="2">
        <f>IF(P82="","",IF(COUNTA($P$2:$P$300)&lt;=1,0,PERCENTRANK.INC($P$2:$P$300,P82)))</f>
        <v/>
      </c>
      <c r="R82" s="2">
        <f>IF(A82="","",0.45*H82+0.35*Q82+0.20*J82)</f>
        <v/>
      </c>
      <c r="S82">
        <f>IF(G82="","",IF(G82&lt;=0.33,"Low Movement",IF(G82&lt;=0.66,"Medium Movement","High Movement")))</f>
        <v/>
      </c>
      <c r="T82">
        <f>IF(R82="","",IF(R82&gt;=0.67,"High Value Bundle",IF(R82&gt;=0.34,"Medium Value Bundle","Low Value Bundle")))</f>
        <v/>
      </c>
      <c r="U82">
        <f>IF(A82="","",IF(AND(G82&gt;=0.70,J82&gt;=0.70,M82&gt;0),"Yes","No"))</f>
        <v/>
      </c>
      <c r="V82">
        <f>IF(A82="","",IF(AND(S82="Low Movement",M82&gt;0,P82&gt;=2),"Yes","No"))</f>
        <v/>
      </c>
      <c r="W82" s="2">
        <f>IF(T82="","",MIN(0.12,IF(T82="High Value Bundle",0.05,IF(T82="Medium Value Bundle",0.07,0.10))+IF(P82&gt;=8,0.02,0)))</f>
        <v/>
      </c>
      <c r="X82">
        <f>IF(U82="Yes",C82&amp;"|anchor","")</f>
        <v/>
      </c>
      <c r="Y82">
        <f>IF(U82="Yes",B82,"")</f>
        <v/>
      </c>
    </row>
    <row r="83">
      <c r="A83">
        <f>Input_Data!C83</f>
        <v/>
      </c>
      <c r="B83">
        <f>Input_Data!A83</f>
        <v/>
      </c>
      <c r="C83">
        <f>Input_Data!B83</f>
        <v/>
      </c>
      <c r="D83">
        <f>Input_Data!D83</f>
        <v/>
      </c>
      <c r="E83">
        <f>IF(A83="","",SUM(Input_Data!E83:H83))</f>
        <v/>
      </c>
      <c r="F83">
        <f>IF(E83="","",E83/4)</f>
        <v/>
      </c>
      <c r="G83" s="2">
        <f>IF(E83="","",IF(COUNTA($E$2:$E$300)&lt;=1,0,PERCENTRANK.INC($E$2:$E$300,E83)))</f>
        <v/>
      </c>
      <c r="H83" s="2">
        <f>IF(G83="","",1-G83)</f>
        <v/>
      </c>
      <c r="I83" s="2">
        <f>Input_Data!I83</f>
        <v/>
      </c>
      <c r="J83" s="2">
        <f>IF(I83="","",IF(COUNTA($I$2:$I$300)&lt;=1,0,PERCENTRANK.INC($I$2:$I$300,I83)))</f>
        <v/>
      </c>
      <c r="K83">
        <f>Input_Data!J83</f>
        <v/>
      </c>
      <c r="L83">
        <f>Input_Data!K83</f>
        <v/>
      </c>
      <c r="M83">
        <f>Input_Data!L83</f>
        <v/>
      </c>
      <c r="N83">
        <f>IF(K83="","",K83-L83)</f>
        <v/>
      </c>
      <c r="O83">
        <f>IF(A83="","",IF(ABS(M83-N83)&lt;=1,"OK","CHECK"))</f>
        <v/>
      </c>
      <c r="P83">
        <f>IF(M83="","",IF(F83=0,99,M83/F83))</f>
        <v/>
      </c>
      <c r="Q83" s="2">
        <f>IF(P83="","",IF(COUNTA($P$2:$P$300)&lt;=1,0,PERCENTRANK.INC($P$2:$P$300,P83)))</f>
        <v/>
      </c>
      <c r="R83" s="2">
        <f>IF(A83="","",0.45*H83+0.35*Q83+0.20*J83)</f>
        <v/>
      </c>
      <c r="S83">
        <f>IF(G83="","",IF(G83&lt;=0.33,"Low Movement",IF(G83&lt;=0.66,"Medium Movement","High Movement")))</f>
        <v/>
      </c>
      <c r="T83">
        <f>IF(R83="","",IF(R83&gt;=0.67,"High Value Bundle",IF(R83&gt;=0.34,"Medium Value Bundle","Low Value Bundle")))</f>
        <v/>
      </c>
      <c r="U83">
        <f>IF(A83="","",IF(AND(G83&gt;=0.70,J83&gt;=0.70,M83&gt;0),"Yes","No"))</f>
        <v/>
      </c>
      <c r="V83">
        <f>IF(A83="","",IF(AND(S83="Low Movement",M83&gt;0,P83&gt;=2),"Yes","No"))</f>
        <v/>
      </c>
      <c r="W83" s="2">
        <f>IF(T83="","",MIN(0.12,IF(T83="High Value Bundle",0.05,IF(T83="Medium Value Bundle",0.07,0.10))+IF(P83&gt;=8,0.02,0)))</f>
        <v/>
      </c>
      <c r="X83">
        <f>IF(U83="Yes",C83&amp;"|anchor","")</f>
        <v/>
      </c>
      <c r="Y83">
        <f>IF(U83="Yes",B83,"")</f>
        <v/>
      </c>
    </row>
    <row r="84">
      <c r="A84">
        <f>Input_Data!C84</f>
        <v/>
      </c>
      <c r="B84">
        <f>Input_Data!A84</f>
        <v/>
      </c>
      <c r="C84">
        <f>Input_Data!B84</f>
        <v/>
      </c>
      <c r="D84">
        <f>Input_Data!D84</f>
        <v/>
      </c>
      <c r="E84">
        <f>IF(A84="","",SUM(Input_Data!E84:H84))</f>
        <v/>
      </c>
      <c r="F84">
        <f>IF(E84="","",E84/4)</f>
        <v/>
      </c>
      <c r="G84" s="2">
        <f>IF(E84="","",IF(COUNTA($E$2:$E$300)&lt;=1,0,PERCENTRANK.INC($E$2:$E$300,E84)))</f>
        <v/>
      </c>
      <c r="H84" s="2">
        <f>IF(G84="","",1-G84)</f>
        <v/>
      </c>
      <c r="I84" s="2">
        <f>Input_Data!I84</f>
        <v/>
      </c>
      <c r="J84" s="2">
        <f>IF(I84="","",IF(COUNTA($I$2:$I$300)&lt;=1,0,PERCENTRANK.INC($I$2:$I$300,I84)))</f>
        <v/>
      </c>
      <c r="K84">
        <f>Input_Data!J84</f>
        <v/>
      </c>
      <c r="L84">
        <f>Input_Data!K84</f>
        <v/>
      </c>
      <c r="M84">
        <f>Input_Data!L84</f>
        <v/>
      </c>
      <c r="N84">
        <f>IF(K84="","",K84-L84)</f>
        <v/>
      </c>
      <c r="O84">
        <f>IF(A84="","",IF(ABS(M84-N84)&lt;=1,"OK","CHECK"))</f>
        <v/>
      </c>
      <c r="P84">
        <f>IF(M84="","",IF(F84=0,99,M84/F84))</f>
        <v/>
      </c>
      <c r="Q84" s="2">
        <f>IF(P84="","",IF(COUNTA($P$2:$P$300)&lt;=1,0,PERCENTRANK.INC($P$2:$P$300,P84)))</f>
        <v/>
      </c>
      <c r="R84" s="2">
        <f>IF(A84="","",0.45*H84+0.35*Q84+0.20*J84)</f>
        <v/>
      </c>
      <c r="S84">
        <f>IF(G84="","",IF(G84&lt;=0.33,"Low Movement",IF(G84&lt;=0.66,"Medium Movement","High Movement")))</f>
        <v/>
      </c>
      <c r="T84">
        <f>IF(R84="","",IF(R84&gt;=0.67,"High Value Bundle",IF(R84&gt;=0.34,"Medium Value Bundle","Low Value Bundle")))</f>
        <v/>
      </c>
      <c r="U84">
        <f>IF(A84="","",IF(AND(G84&gt;=0.70,J84&gt;=0.70,M84&gt;0),"Yes","No"))</f>
        <v/>
      </c>
      <c r="V84">
        <f>IF(A84="","",IF(AND(S84="Low Movement",M84&gt;0,P84&gt;=2),"Yes","No"))</f>
        <v/>
      </c>
      <c r="W84" s="2">
        <f>IF(T84="","",MIN(0.12,IF(T84="High Value Bundle",0.05,IF(T84="Medium Value Bundle",0.07,0.10))+IF(P84&gt;=8,0.02,0)))</f>
        <v/>
      </c>
      <c r="X84">
        <f>IF(U84="Yes",C84&amp;"|anchor","")</f>
        <v/>
      </c>
      <c r="Y84">
        <f>IF(U84="Yes",B84,"")</f>
        <v/>
      </c>
    </row>
    <row r="85">
      <c r="A85">
        <f>Input_Data!C85</f>
        <v/>
      </c>
      <c r="B85">
        <f>Input_Data!A85</f>
        <v/>
      </c>
      <c r="C85">
        <f>Input_Data!B85</f>
        <v/>
      </c>
      <c r="D85">
        <f>Input_Data!D85</f>
        <v/>
      </c>
      <c r="E85">
        <f>IF(A85="","",SUM(Input_Data!E85:H85))</f>
        <v/>
      </c>
      <c r="F85">
        <f>IF(E85="","",E85/4)</f>
        <v/>
      </c>
      <c r="G85" s="2">
        <f>IF(E85="","",IF(COUNTA($E$2:$E$300)&lt;=1,0,PERCENTRANK.INC($E$2:$E$300,E85)))</f>
        <v/>
      </c>
      <c r="H85" s="2">
        <f>IF(G85="","",1-G85)</f>
        <v/>
      </c>
      <c r="I85" s="2">
        <f>Input_Data!I85</f>
        <v/>
      </c>
      <c r="J85" s="2">
        <f>IF(I85="","",IF(COUNTA($I$2:$I$300)&lt;=1,0,PERCENTRANK.INC($I$2:$I$300,I85)))</f>
        <v/>
      </c>
      <c r="K85">
        <f>Input_Data!J85</f>
        <v/>
      </c>
      <c r="L85">
        <f>Input_Data!K85</f>
        <v/>
      </c>
      <c r="M85">
        <f>Input_Data!L85</f>
        <v/>
      </c>
      <c r="N85">
        <f>IF(K85="","",K85-L85)</f>
        <v/>
      </c>
      <c r="O85">
        <f>IF(A85="","",IF(ABS(M85-N85)&lt;=1,"OK","CHECK"))</f>
        <v/>
      </c>
      <c r="P85">
        <f>IF(M85="","",IF(F85=0,99,M85/F85))</f>
        <v/>
      </c>
      <c r="Q85" s="2">
        <f>IF(P85="","",IF(COUNTA($P$2:$P$300)&lt;=1,0,PERCENTRANK.INC($P$2:$P$300,P85)))</f>
        <v/>
      </c>
      <c r="R85" s="2">
        <f>IF(A85="","",0.45*H85+0.35*Q85+0.20*J85)</f>
        <v/>
      </c>
      <c r="S85">
        <f>IF(G85="","",IF(G85&lt;=0.33,"Low Movement",IF(G85&lt;=0.66,"Medium Movement","High Movement")))</f>
        <v/>
      </c>
      <c r="T85">
        <f>IF(R85="","",IF(R85&gt;=0.67,"High Value Bundle",IF(R85&gt;=0.34,"Medium Value Bundle","Low Value Bundle")))</f>
        <v/>
      </c>
      <c r="U85">
        <f>IF(A85="","",IF(AND(G85&gt;=0.70,J85&gt;=0.70,M85&gt;0),"Yes","No"))</f>
        <v/>
      </c>
      <c r="V85">
        <f>IF(A85="","",IF(AND(S85="Low Movement",M85&gt;0,P85&gt;=2),"Yes","No"))</f>
        <v/>
      </c>
      <c r="W85" s="2">
        <f>IF(T85="","",MIN(0.12,IF(T85="High Value Bundle",0.05,IF(T85="Medium Value Bundle",0.07,0.10))+IF(P85&gt;=8,0.02,0)))</f>
        <v/>
      </c>
      <c r="X85">
        <f>IF(U85="Yes",C85&amp;"|anchor","")</f>
        <v/>
      </c>
      <c r="Y85">
        <f>IF(U85="Yes",B85,"")</f>
        <v/>
      </c>
    </row>
    <row r="86">
      <c r="A86">
        <f>Input_Data!C86</f>
        <v/>
      </c>
      <c r="B86">
        <f>Input_Data!A86</f>
        <v/>
      </c>
      <c r="C86">
        <f>Input_Data!B86</f>
        <v/>
      </c>
      <c r="D86">
        <f>Input_Data!D86</f>
        <v/>
      </c>
      <c r="E86">
        <f>IF(A86="","",SUM(Input_Data!E86:H86))</f>
        <v/>
      </c>
      <c r="F86">
        <f>IF(E86="","",E86/4)</f>
        <v/>
      </c>
      <c r="G86" s="2">
        <f>IF(E86="","",IF(COUNTA($E$2:$E$300)&lt;=1,0,PERCENTRANK.INC($E$2:$E$300,E86)))</f>
        <v/>
      </c>
      <c r="H86" s="2">
        <f>IF(G86="","",1-G86)</f>
        <v/>
      </c>
      <c r="I86" s="2">
        <f>Input_Data!I86</f>
        <v/>
      </c>
      <c r="J86" s="2">
        <f>IF(I86="","",IF(COUNTA($I$2:$I$300)&lt;=1,0,PERCENTRANK.INC($I$2:$I$300,I86)))</f>
        <v/>
      </c>
      <c r="K86">
        <f>Input_Data!J86</f>
        <v/>
      </c>
      <c r="L86">
        <f>Input_Data!K86</f>
        <v/>
      </c>
      <c r="M86">
        <f>Input_Data!L86</f>
        <v/>
      </c>
      <c r="N86">
        <f>IF(K86="","",K86-L86)</f>
        <v/>
      </c>
      <c r="O86">
        <f>IF(A86="","",IF(ABS(M86-N86)&lt;=1,"OK","CHECK"))</f>
        <v/>
      </c>
      <c r="P86">
        <f>IF(M86="","",IF(F86=0,99,M86/F86))</f>
        <v/>
      </c>
      <c r="Q86" s="2">
        <f>IF(P86="","",IF(COUNTA($P$2:$P$300)&lt;=1,0,PERCENTRANK.INC($P$2:$P$300,P86)))</f>
        <v/>
      </c>
      <c r="R86" s="2">
        <f>IF(A86="","",0.45*H86+0.35*Q86+0.20*J86)</f>
        <v/>
      </c>
      <c r="S86">
        <f>IF(G86="","",IF(G86&lt;=0.33,"Low Movement",IF(G86&lt;=0.66,"Medium Movement","High Movement")))</f>
        <v/>
      </c>
      <c r="T86">
        <f>IF(R86="","",IF(R86&gt;=0.67,"High Value Bundle",IF(R86&gt;=0.34,"Medium Value Bundle","Low Value Bundle")))</f>
        <v/>
      </c>
      <c r="U86">
        <f>IF(A86="","",IF(AND(G86&gt;=0.70,J86&gt;=0.70,M86&gt;0),"Yes","No"))</f>
        <v/>
      </c>
      <c r="V86">
        <f>IF(A86="","",IF(AND(S86="Low Movement",M86&gt;0,P86&gt;=2),"Yes","No"))</f>
        <v/>
      </c>
      <c r="W86" s="2">
        <f>IF(T86="","",MIN(0.12,IF(T86="High Value Bundle",0.05,IF(T86="Medium Value Bundle",0.07,0.10))+IF(P86&gt;=8,0.02,0)))</f>
        <v/>
      </c>
      <c r="X86">
        <f>IF(U86="Yes",C86&amp;"|anchor","")</f>
        <v/>
      </c>
      <c r="Y86">
        <f>IF(U86="Yes",B86,"")</f>
        <v/>
      </c>
    </row>
    <row r="87">
      <c r="A87">
        <f>Input_Data!C87</f>
        <v/>
      </c>
      <c r="B87">
        <f>Input_Data!A87</f>
        <v/>
      </c>
      <c r="C87">
        <f>Input_Data!B87</f>
        <v/>
      </c>
      <c r="D87">
        <f>Input_Data!D87</f>
        <v/>
      </c>
      <c r="E87">
        <f>IF(A87="","",SUM(Input_Data!E87:H87))</f>
        <v/>
      </c>
      <c r="F87">
        <f>IF(E87="","",E87/4)</f>
        <v/>
      </c>
      <c r="G87" s="2">
        <f>IF(E87="","",IF(COUNTA($E$2:$E$300)&lt;=1,0,PERCENTRANK.INC($E$2:$E$300,E87)))</f>
        <v/>
      </c>
      <c r="H87" s="2">
        <f>IF(G87="","",1-G87)</f>
        <v/>
      </c>
      <c r="I87" s="2">
        <f>Input_Data!I87</f>
        <v/>
      </c>
      <c r="J87" s="2">
        <f>IF(I87="","",IF(COUNTA($I$2:$I$300)&lt;=1,0,PERCENTRANK.INC($I$2:$I$300,I87)))</f>
        <v/>
      </c>
      <c r="K87">
        <f>Input_Data!J87</f>
        <v/>
      </c>
      <c r="L87">
        <f>Input_Data!K87</f>
        <v/>
      </c>
      <c r="M87">
        <f>Input_Data!L87</f>
        <v/>
      </c>
      <c r="N87">
        <f>IF(K87="","",K87-L87)</f>
        <v/>
      </c>
      <c r="O87">
        <f>IF(A87="","",IF(ABS(M87-N87)&lt;=1,"OK","CHECK"))</f>
        <v/>
      </c>
      <c r="P87">
        <f>IF(M87="","",IF(F87=0,99,M87/F87))</f>
        <v/>
      </c>
      <c r="Q87" s="2">
        <f>IF(P87="","",IF(COUNTA($P$2:$P$300)&lt;=1,0,PERCENTRANK.INC($P$2:$P$300,P87)))</f>
        <v/>
      </c>
      <c r="R87" s="2">
        <f>IF(A87="","",0.45*H87+0.35*Q87+0.20*J87)</f>
        <v/>
      </c>
      <c r="S87">
        <f>IF(G87="","",IF(G87&lt;=0.33,"Low Movement",IF(G87&lt;=0.66,"Medium Movement","High Movement")))</f>
        <v/>
      </c>
      <c r="T87">
        <f>IF(R87="","",IF(R87&gt;=0.67,"High Value Bundle",IF(R87&gt;=0.34,"Medium Value Bundle","Low Value Bundle")))</f>
        <v/>
      </c>
      <c r="U87">
        <f>IF(A87="","",IF(AND(G87&gt;=0.70,J87&gt;=0.70,M87&gt;0),"Yes","No"))</f>
        <v/>
      </c>
      <c r="V87">
        <f>IF(A87="","",IF(AND(S87="Low Movement",M87&gt;0,P87&gt;=2),"Yes","No"))</f>
        <v/>
      </c>
      <c r="W87" s="2">
        <f>IF(T87="","",MIN(0.12,IF(T87="High Value Bundle",0.05,IF(T87="Medium Value Bundle",0.07,0.10))+IF(P87&gt;=8,0.02,0)))</f>
        <v/>
      </c>
      <c r="X87">
        <f>IF(U87="Yes",C87&amp;"|anchor","")</f>
        <v/>
      </c>
      <c r="Y87">
        <f>IF(U87="Yes",B87,"")</f>
        <v/>
      </c>
    </row>
    <row r="88">
      <c r="A88">
        <f>Input_Data!C88</f>
        <v/>
      </c>
      <c r="B88">
        <f>Input_Data!A88</f>
        <v/>
      </c>
      <c r="C88">
        <f>Input_Data!B88</f>
        <v/>
      </c>
      <c r="D88">
        <f>Input_Data!D88</f>
        <v/>
      </c>
      <c r="E88">
        <f>IF(A88="","",SUM(Input_Data!E88:H88))</f>
        <v/>
      </c>
      <c r="F88">
        <f>IF(E88="","",E88/4)</f>
        <v/>
      </c>
      <c r="G88" s="2">
        <f>IF(E88="","",IF(COUNTA($E$2:$E$300)&lt;=1,0,PERCENTRANK.INC($E$2:$E$300,E88)))</f>
        <v/>
      </c>
      <c r="H88" s="2">
        <f>IF(G88="","",1-G88)</f>
        <v/>
      </c>
      <c r="I88" s="2">
        <f>Input_Data!I88</f>
        <v/>
      </c>
      <c r="J88" s="2">
        <f>IF(I88="","",IF(COUNTA($I$2:$I$300)&lt;=1,0,PERCENTRANK.INC($I$2:$I$300,I88)))</f>
        <v/>
      </c>
      <c r="K88">
        <f>Input_Data!J88</f>
        <v/>
      </c>
      <c r="L88">
        <f>Input_Data!K88</f>
        <v/>
      </c>
      <c r="M88">
        <f>Input_Data!L88</f>
        <v/>
      </c>
      <c r="N88">
        <f>IF(K88="","",K88-L88)</f>
        <v/>
      </c>
      <c r="O88">
        <f>IF(A88="","",IF(ABS(M88-N88)&lt;=1,"OK","CHECK"))</f>
        <v/>
      </c>
      <c r="P88">
        <f>IF(M88="","",IF(F88=0,99,M88/F88))</f>
        <v/>
      </c>
      <c r="Q88" s="2">
        <f>IF(P88="","",IF(COUNTA($P$2:$P$300)&lt;=1,0,PERCENTRANK.INC($P$2:$P$300,P88)))</f>
        <v/>
      </c>
      <c r="R88" s="2">
        <f>IF(A88="","",0.45*H88+0.35*Q88+0.20*J88)</f>
        <v/>
      </c>
      <c r="S88">
        <f>IF(G88="","",IF(G88&lt;=0.33,"Low Movement",IF(G88&lt;=0.66,"Medium Movement","High Movement")))</f>
        <v/>
      </c>
      <c r="T88">
        <f>IF(R88="","",IF(R88&gt;=0.67,"High Value Bundle",IF(R88&gt;=0.34,"Medium Value Bundle","Low Value Bundle")))</f>
        <v/>
      </c>
      <c r="U88">
        <f>IF(A88="","",IF(AND(G88&gt;=0.70,J88&gt;=0.70,M88&gt;0),"Yes","No"))</f>
        <v/>
      </c>
      <c r="V88">
        <f>IF(A88="","",IF(AND(S88="Low Movement",M88&gt;0,P88&gt;=2),"Yes","No"))</f>
        <v/>
      </c>
      <c r="W88" s="2">
        <f>IF(T88="","",MIN(0.12,IF(T88="High Value Bundle",0.05,IF(T88="Medium Value Bundle",0.07,0.10))+IF(P88&gt;=8,0.02,0)))</f>
        <v/>
      </c>
      <c r="X88">
        <f>IF(U88="Yes",C88&amp;"|anchor","")</f>
        <v/>
      </c>
      <c r="Y88">
        <f>IF(U88="Yes",B88,"")</f>
        <v/>
      </c>
    </row>
    <row r="89">
      <c r="A89">
        <f>Input_Data!C89</f>
        <v/>
      </c>
      <c r="B89">
        <f>Input_Data!A89</f>
        <v/>
      </c>
      <c r="C89">
        <f>Input_Data!B89</f>
        <v/>
      </c>
      <c r="D89">
        <f>Input_Data!D89</f>
        <v/>
      </c>
      <c r="E89">
        <f>IF(A89="","",SUM(Input_Data!E89:H89))</f>
        <v/>
      </c>
      <c r="F89">
        <f>IF(E89="","",E89/4)</f>
        <v/>
      </c>
      <c r="G89" s="2">
        <f>IF(E89="","",IF(COUNTA($E$2:$E$300)&lt;=1,0,PERCENTRANK.INC($E$2:$E$300,E89)))</f>
        <v/>
      </c>
      <c r="H89" s="2">
        <f>IF(G89="","",1-G89)</f>
        <v/>
      </c>
      <c r="I89" s="2">
        <f>Input_Data!I89</f>
        <v/>
      </c>
      <c r="J89" s="2">
        <f>IF(I89="","",IF(COUNTA($I$2:$I$300)&lt;=1,0,PERCENTRANK.INC($I$2:$I$300,I89)))</f>
        <v/>
      </c>
      <c r="K89">
        <f>Input_Data!J89</f>
        <v/>
      </c>
      <c r="L89">
        <f>Input_Data!K89</f>
        <v/>
      </c>
      <c r="M89">
        <f>Input_Data!L89</f>
        <v/>
      </c>
      <c r="N89">
        <f>IF(K89="","",K89-L89)</f>
        <v/>
      </c>
      <c r="O89">
        <f>IF(A89="","",IF(ABS(M89-N89)&lt;=1,"OK","CHECK"))</f>
        <v/>
      </c>
      <c r="P89">
        <f>IF(M89="","",IF(F89=0,99,M89/F89))</f>
        <v/>
      </c>
      <c r="Q89" s="2">
        <f>IF(P89="","",IF(COUNTA($P$2:$P$300)&lt;=1,0,PERCENTRANK.INC($P$2:$P$300,P89)))</f>
        <v/>
      </c>
      <c r="R89" s="2">
        <f>IF(A89="","",0.45*H89+0.35*Q89+0.20*J89)</f>
        <v/>
      </c>
      <c r="S89">
        <f>IF(G89="","",IF(G89&lt;=0.33,"Low Movement",IF(G89&lt;=0.66,"Medium Movement","High Movement")))</f>
        <v/>
      </c>
      <c r="T89">
        <f>IF(R89="","",IF(R89&gt;=0.67,"High Value Bundle",IF(R89&gt;=0.34,"Medium Value Bundle","Low Value Bundle")))</f>
        <v/>
      </c>
      <c r="U89">
        <f>IF(A89="","",IF(AND(G89&gt;=0.70,J89&gt;=0.70,M89&gt;0),"Yes","No"))</f>
        <v/>
      </c>
      <c r="V89">
        <f>IF(A89="","",IF(AND(S89="Low Movement",M89&gt;0,P89&gt;=2),"Yes","No"))</f>
        <v/>
      </c>
      <c r="W89" s="2">
        <f>IF(T89="","",MIN(0.12,IF(T89="High Value Bundle",0.05,IF(T89="Medium Value Bundle",0.07,0.10))+IF(P89&gt;=8,0.02,0)))</f>
        <v/>
      </c>
      <c r="X89">
        <f>IF(U89="Yes",C89&amp;"|anchor","")</f>
        <v/>
      </c>
      <c r="Y89">
        <f>IF(U89="Yes",B89,"")</f>
        <v/>
      </c>
    </row>
    <row r="90">
      <c r="A90">
        <f>Input_Data!C90</f>
        <v/>
      </c>
      <c r="B90">
        <f>Input_Data!A90</f>
        <v/>
      </c>
      <c r="C90">
        <f>Input_Data!B90</f>
        <v/>
      </c>
      <c r="D90">
        <f>Input_Data!D90</f>
        <v/>
      </c>
      <c r="E90">
        <f>IF(A90="","",SUM(Input_Data!E90:H90))</f>
        <v/>
      </c>
      <c r="F90">
        <f>IF(E90="","",E90/4)</f>
        <v/>
      </c>
      <c r="G90" s="2">
        <f>IF(E90="","",IF(COUNTA($E$2:$E$300)&lt;=1,0,PERCENTRANK.INC($E$2:$E$300,E90)))</f>
        <v/>
      </c>
      <c r="H90" s="2">
        <f>IF(G90="","",1-G90)</f>
        <v/>
      </c>
      <c r="I90" s="2">
        <f>Input_Data!I90</f>
        <v/>
      </c>
      <c r="J90" s="2">
        <f>IF(I90="","",IF(COUNTA($I$2:$I$300)&lt;=1,0,PERCENTRANK.INC($I$2:$I$300,I90)))</f>
        <v/>
      </c>
      <c r="K90">
        <f>Input_Data!J90</f>
        <v/>
      </c>
      <c r="L90">
        <f>Input_Data!K90</f>
        <v/>
      </c>
      <c r="M90">
        <f>Input_Data!L90</f>
        <v/>
      </c>
      <c r="N90">
        <f>IF(K90="","",K90-L90)</f>
        <v/>
      </c>
      <c r="O90">
        <f>IF(A90="","",IF(ABS(M90-N90)&lt;=1,"OK","CHECK"))</f>
        <v/>
      </c>
      <c r="P90">
        <f>IF(M90="","",IF(F90=0,99,M90/F90))</f>
        <v/>
      </c>
      <c r="Q90" s="2">
        <f>IF(P90="","",IF(COUNTA($P$2:$P$300)&lt;=1,0,PERCENTRANK.INC($P$2:$P$300,P90)))</f>
        <v/>
      </c>
      <c r="R90" s="2">
        <f>IF(A90="","",0.45*H90+0.35*Q90+0.20*J90)</f>
        <v/>
      </c>
      <c r="S90">
        <f>IF(G90="","",IF(G90&lt;=0.33,"Low Movement",IF(G90&lt;=0.66,"Medium Movement","High Movement")))</f>
        <v/>
      </c>
      <c r="T90">
        <f>IF(R90="","",IF(R90&gt;=0.67,"High Value Bundle",IF(R90&gt;=0.34,"Medium Value Bundle","Low Value Bundle")))</f>
        <v/>
      </c>
      <c r="U90">
        <f>IF(A90="","",IF(AND(G90&gt;=0.70,J90&gt;=0.70,M90&gt;0),"Yes","No"))</f>
        <v/>
      </c>
      <c r="V90">
        <f>IF(A90="","",IF(AND(S90="Low Movement",M90&gt;0,P90&gt;=2),"Yes","No"))</f>
        <v/>
      </c>
      <c r="W90" s="2">
        <f>IF(T90="","",MIN(0.12,IF(T90="High Value Bundle",0.05,IF(T90="Medium Value Bundle",0.07,0.10))+IF(P90&gt;=8,0.02,0)))</f>
        <v/>
      </c>
      <c r="X90">
        <f>IF(U90="Yes",C90&amp;"|anchor","")</f>
        <v/>
      </c>
      <c r="Y90">
        <f>IF(U90="Yes",B90,"")</f>
        <v/>
      </c>
    </row>
    <row r="91">
      <c r="A91">
        <f>Input_Data!C91</f>
        <v/>
      </c>
      <c r="B91">
        <f>Input_Data!A91</f>
        <v/>
      </c>
      <c r="C91">
        <f>Input_Data!B91</f>
        <v/>
      </c>
      <c r="D91">
        <f>Input_Data!D91</f>
        <v/>
      </c>
      <c r="E91">
        <f>IF(A91="","",SUM(Input_Data!E91:H91))</f>
        <v/>
      </c>
      <c r="F91">
        <f>IF(E91="","",E91/4)</f>
        <v/>
      </c>
      <c r="G91" s="2">
        <f>IF(E91="","",IF(COUNTA($E$2:$E$300)&lt;=1,0,PERCENTRANK.INC($E$2:$E$300,E91)))</f>
        <v/>
      </c>
      <c r="H91" s="2">
        <f>IF(G91="","",1-G91)</f>
        <v/>
      </c>
      <c r="I91" s="2">
        <f>Input_Data!I91</f>
        <v/>
      </c>
      <c r="J91" s="2">
        <f>IF(I91="","",IF(COUNTA($I$2:$I$300)&lt;=1,0,PERCENTRANK.INC($I$2:$I$300,I91)))</f>
        <v/>
      </c>
      <c r="K91">
        <f>Input_Data!J91</f>
        <v/>
      </c>
      <c r="L91">
        <f>Input_Data!K91</f>
        <v/>
      </c>
      <c r="M91">
        <f>Input_Data!L91</f>
        <v/>
      </c>
      <c r="N91">
        <f>IF(K91="","",K91-L91)</f>
        <v/>
      </c>
      <c r="O91">
        <f>IF(A91="","",IF(ABS(M91-N91)&lt;=1,"OK","CHECK"))</f>
        <v/>
      </c>
      <c r="P91">
        <f>IF(M91="","",IF(F91=0,99,M91/F91))</f>
        <v/>
      </c>
      <c r="Q91" s="2">
        <f>IF(P91="","",IF(COUNTA($P$2:$P$300)&lt;=1,0,PERCENTRANK.INC($P$2:$P$300,P91)))</f>
        <v/>
      </c>
      <c r="R91" s="2">
        <f>IF(A91="","",0.45*H91+0.35*Q91+0.20*J91)</f>
        <v/>
      </c>
      <c r="S91">
        <f>IF(G91="","",IF(G91&lt;=0.33,"Low Movement",IF(G91&lt;=0.66,"Medium Movement","High Movement")))</f>
        <v/>
      </c>
      <c r="T91">
        <f>IF(R91="","",IF(R91&gt;=0.67,"High Value Bundle",IF(R91&gt;=0.34,"Medium Value Bundle","Low Value Bundle")))</f>
        <v/>
      </c>
      <c r="U91">
        <f>IF(A91="","",IF(AND(G91&gt;=0.70,J91&gt;=0.70,M91&gt;0),"Yes","No"))</f>
        <v/>
      </c>
      <c r="V91">
        <f>IF(A91="","",IF(AND(S91="Low Movement",M91&gt;0,P91&gt;=2),"Yes","No"))</f>
        <v/>
      </c>
      <c r="W91" s="2">
        <f>IF(T91="","",MIN(0.12,IF(T91="High Value Bundle",0.05,IF(T91="Medium Value Bundle",0.07,0.10))+IF(P91&gt;=8,0.02,0)))</f>
        <v/>
      </c>
      <c r="X91">
        <f>IF(U91="Yes",C91&amp;"|anchor","")</f>
        <v/>
      </c>
      <c r="Y91">
        <f>IF(U91="Yes",B91,"")</f>
        <v/>
      </c>
    </row>
    <row r="92">
      <c r="A92">
        <f>Input_Data!C92</f>
        <v/>
      </c>
      <c r="B92">
        <f>Input_Data!A92</f>
        <v/>
      </c>
      <c r="C92">
        <f>Input_Data!B92</f>
        <v/>
      </c>
      <c r="D92">
        <f>Input_Data!D92</f>
        <v/>
      </c>
      <c r="E92">
        <f>IF(A92="","",SUM(Input_Data!E92:H92))</f>
        <v/>
      </c>
      <c r="F92">
        <f>IF(E92="","",E92/4)</f>
        <v/>
      </c>
      <c r="G92" s="2">
        <f>IF(E92="","",IF(COUNTA($E$2:$E$300)&lt;=1,0,PERCENTRANK.INC($E$2:$E$300,E92)))</f>
        <v/>
      </c>
      <c r="H92" s="2">
        <f>IF(G92="","",1-G92)</f>
        <v/>
      </c>
      <c r="I92" s="2">
        <f>Input_Data!I92</f>
        <v/>
      </c>
      <c r="J92" s="2">
        <f>IF(I92="","",IF(COUNTA($I$2:$I$300)&lt;=1,0,PERCENTRANK.INC($I$2:$I$300,I92)))</f>
        <v/>
      </c>
      <c r="K92">
        <f>Input_Data!J92</f>
        <v/>
      </c>
      <c r="L92">
        <f>Input_Data!K92</f>
        <v/>
      </c>
      <c r="M92">
        <f>Input_Data!L92</f>
        <v/>
      </c>
      <c r="N92">
        <f>IF(K92="","",K92-L92)</f>
        <v/>
      </c>
      <c r="O92">
        <f>IF(A92="","",IF(ABS(M92-N92)&lt;=1,"OK","CHECK"))</f>
        <v/>
      </c>
      <c r="P92">
        <f>IF(M92="","",IF(F92=0,99,M92/F92))</f>
        <v/>
      </c>
      <c r="Q92" s="2">
        <f>IF(P92="","",IF(COUNTA($P$2:$P$300)&lt;=1,0,PERCENTRANK.INC($P$2:$P$300,P92)))</f>
        <v/>
      </c>
      <c r="R92" s="2">
        <f>IF(A92="","",0.45*H92+0.35*Q92+0.20*J92)</f>
        <v/>
      </c>
      <c r="S92">
        <f>IF(G92="","",IF(G92&lt;=0.33,"Low Movement",IF(G92&lt;=0.66,"Medium Movement","High Movement")))</f>
        <v/>
      </c>
      <c r="T92">
        <f>IF(R92="","",IF(R92&gt;=0.67,"High Value Bundle",IF(R92&gt;=0.34,"Medium Value Bundle","Low Value Bundle")))</f>
        <v/>
      </c>
      <c r="U92">
        <f>IF(A92="","",IF(AND(G92&gt;=0.70,J92&gt;=0.70,M92&gt;0),"Yes","No"))</f>
        <v/>
      </c>
      <c r="V92">
        <f>IF(A92="","",IF(AND(S92="Low Movement",M92&gt;0,P92&gt;=2),"Yes","No"))</f>
        <v/>
      </c>
      <c r="W92" s="2">
        <f>IF(T92="","",MIN(0.12,IF(T92="High Value Bundle",0.05,IF(T92="Medium Value Bundle",0.07,0.10))+IF(P92&gt;=8,0.02,0)))</f>
        <v/>
      </c>
      <c r="X92">
        <f>IF(U92="Yes",C92&amp;"|anchor","")</f>
        <v/>
      </c>
      <c r="Y92">
        <f>IF(U92="Yes",B92,"")</f>
        <v/>
      </c>
    </row>
    <row r="93">
      <c r="A93">
        <f>Input_Data!C93</f>
        <v/>
      </c>
      <c r="B93">
        <f>Input_Data!A93</f>
        <v/>
      </c>
      <c r="C93">
        <f>Input_Data!B93</f>
        <v/>
      </c>
      <c r="D93">
        <f>Input_Data!D93</f>
        <v/>
      </c>
      <c r="E93">
        <f>IF(A93="","",SUM(Input_Data!E93:H93))</f>
        <v/>
      </c>
      <c r="F93">
        <f>IF(E93="","",E93/4)</f>
        <v/>
      </c>
      <c r="G93" s="2">
        <f>IF(E93="","",IF(COUNTA($E$2:$E$300)&lt;=1,0,PERCENTRANK.INC($E$2:$E$300,E93)))</f>
        <v/>
      </c>
      <c r="H93" s="2">
        <f>IF(G93="","",1-G93)</f>
        <v/>
      </c>
      <c r="I93" s="2">
        <f>Input_Data!I93</f>
        <v/>
      </c>
      <c r="J93" s="2">
        <f>IF(I93="","",IF(COUNTA($I$2:$I$300)&lt;=1,0,PERCENTRANK.INC($I$2:$I$300,I93)))</f>
        <v/>
      </c>
      <c r="K93">
        <f>Input_Data!J93</f>
        <v/>
      </c>
      <c r="L93">
        <f>Input_Data!K93</f>
        <v/>
      </c>
      <c r="M93">
        <f>Input_Data!L93</f>
        <v/>
      </c>
      <c r="N93">
        <f>IF(K93="","",K93-L93)</f>
        <v/>
      </c>
      <c r="O93">
        <f>IF(A93="","",IF(ABS(M93-N93)&lt;=1,"OK","CHECK"))</f>
        <v/>
      </c>
      <c r="P93">
        <f>IF(M93="","",IF(F93=0,99,M93/F93))</f>
        <v/>
      </c>
      <c r="Q93" s="2">
        <f>IF(P93="","",IF(COUNTA($P$2:$P$300)&lt;=1,0,PERCENTRANK.INC($P$2:$P$300,P93)))</f>
        <v/>
      </c>
      <c r="R93" s="2">
        <f>IF(A93="","",0.45*H93+0.35*Q93+0.20*J93)</f>
        <v/>
      </c>
      <c r="S93">
        <f>IF(G93="","",IF(G93&lt;=0.33,"Low Movement",IF(G93&lt;=0.66,"Medium Movement","High Movement")))</f>
        <v/>
      </c>
      <c r="T93">
        <f>IF(R93="","",IF(R93&gt;=0.67,"High Value Bundle",IF(R93&gt;=0.34,"Medium Value Bundle","Low Value Bundle")))</f>
        <v/>
      </c>
      <c r="U93">
        <f>IF(A93="","",IF(AND(G93&gt;=0.70,J93&gt;=0.70,M93&gt;0),"Yes","No"))</f>
        <v/>
      </c>
      <c r="V93">
        <f>IF(A93="","",IF(AND(S93="Low Movement",M93&gt;0,P93&gt;=2),"Yes","No"))</f>
        <v/>
      </c>
      <c r="W93" s="2">
        <f>IF(T93="","",MIN(0.12,IF(T93="High Value Bundle",0.05,IF(T93="Medium Value Bundle",0.07,0.10))+IF(P93&gt;=8,0.02,0)))</f>
        <v/>
      </c>
      <c r="X93">
        <f>IF(U93="Yes",C93&amp;"|anchor","")</f>
        <v/>
      </c>
      <c r="Y93">
        <f>IF(U93="Yes",B93,"")</f>
        <v/>
      </c>
    </row>
    <row r="94">
      <c r="A94">
        <f>Input_Data!C94</f>
        <v/>
      </c>
      <c r="B94">
        <f>Input_Data!A94</f>
        <v/>
      </c>
      <c r="C94">
        <f>Input_Data!B94</f>
        <v/>
      </c>
      <c r="D94">
        <f>Input_Data!D94</f>
        <v/>
      </c>
      <c r="E94">
        <f>IF(A94="","",SUM(Input_Data!E94:H94))</f>
        <v/>
      </c>
      <c r="F94">
        <f>IF(E94="","",E94/4)</f>
        <v/>
      </c>
      <c r="G94" s="2">
        <f>IF(E94="","",IF(COUNTA($E$2:$E$300)&lt;=1,0,PERCENTRANK.INC($E$2:$E$300,E94)))</f>
        <v/>
      </c>
      <c r="H94" s="2">
        <f>IF(G94="","",1-G94)</f>
        <v/>
      </c>
      <c r="I94" s="2">
        <f>Input_Data!I94</f>
        <v/>
      </c>
      <c r="J94" s="2">
        <f>IF(I94="","",IF(COUNTA($I$2:$I$300)&lt;=1,0,PERCENTRANK.INC($I$2:$I$300,I94)))</f>
        <v/>
      </c>
      <c r="K94">
        <f>Input_Data!J94</f>
        <v/>
      </c>
      <c r="L94">
        <f>Input_Data!K94</f>
        <v/>
      </c>
      <c r="M94">
        <f>Input_Data!L94</f>
        <v/>
      </c>
      <c r="N94">
        <f>IF(K94="","",K94-L94)</f>
        <v/>
      </c>
      <c r="O94">
        <f>IF(A94="","",IF(ABS(M94-N94)&lt;=1,"OK","CHECK"))</f>
        <v/>
      </c>
      <c r="P94">
        <f>IF(M94="","",IF(F94=0,99,M94/F94))</f>
        <v/>
      </c>
      <c r="Q94" s="2">
        <f>IF(P94="","",IF(COUNTA($P$2:$P$300)&lt;=1,0,PERCENTRANK.INC($P$2:$P$300,P94)))</f>
        <v/>
      </c>
      <c r="R94" s="2">
        <f>IF(A94="","",0.45*H94+0.35*Q94+0.20*J94)</f>
        <v/>
      </c>
      <c r="S94">
        <f>IF(G94="","",IF(G94&lt;=0.33,"Low Movement",IF(G94&lt;=0.66,"Medium Movement","High Movement")))</f>
        <v/>
      </c>
      <c r="T94">
        <f>IF(R94="","",IF(R94&gt;=0.67,"High Value Bundle",IF(R94&gt;=0.34,"Medium Value Bundle","Low Value Bundle")))</f>
        <v/>
      </c>
      <c r="U94">
        <f>IF(A94="","",IF(AND(G94&gt;=0.70,J94&gt;=0.70,M94&gt;0),"Yes","No"))</f>
        <v/>
      </c>
      <c r="V94">
        <f>IF(A94="","",IF(AND(S94="Low Movement",M94&gt;0,P94&gt;=2),"Yes","No"))</f>
        <v/>
      </c>
      <c r="W94" s="2">
        <f>IF(T94="","",MIN(0.12,IF(T94="High Value Bundle",0.05,IF(T94="Medium Value Bundle",0.07,0.10))+IF(P94&gt;=8,0.02,0)))</f>
        <v/>
      </c>
      <c r="X94">
        <f>IF(U94="Yes",C94&amp;"|anchor","")</f>
        <v/>
      </c>
      <c r="Y94">
        <f>IF(U94="Yes",B94,"")</f>
        <v/>
      </c>
    </row>
    <row r="95">
      <c r="A95">
        <f>Input_Data!C95</f>
        <v/>
      </c>
      <c r="B95">
        <f>Input_Data!A95</f>
        <v/>
      </c>
      <c r="C95">
        <f>Input_Data!B95</f>
        <v/>
      </c>
      <c r="D95">
        <f>Input_Data!D95</f>
        <v/>
      </c>
      <c r="E95">
        <f>IF(A95="","",SUM(Input_Data!E95:H95))</f>
        <v/>
      </c>
      <c r="F95">
        <f>IF(E95="","",E95/4)</f>
        <v/>
      </c>
      <c r="G95" s="2">
        <f>IF(E95="","",IF(COUNTA($E$2:$E$300)&lt;=1,0,PERCENTRANK.INC($E$2:$E$300,E95)))</f>
        <v/>
      </c>
      <c r="H95" s="2">
        <f>IF(G95="","",1-G95)</f>
        <v/>
      </c>
      <c r="I95" s="2">
        <f>Input_Data!I95</f>
        <v/>
      </c>
      <c r="J95" s="2">
        <f>IF(I95="","",IF(COUNTA($I$2:$I$300)&lt;=1,0,PERCENTRANK.INC($I$2:$I$300,I95)))</f>
        <v/>
      </c>
      <c r="K95">
        <f>Input_Data!J95</f>
        <v/>
      </c>
      <c r="L95">
        <f>Input_Data!K95</f>
        <v/>
      </c>
      <c r="M95">
        <f>Input_Data!L95</f>
        <v/>
      </c>
      <c r="N95">
        <f>IF(K95="","",K95-L95)</f>
        <v/>
      </c>
      <c r="O95">
        <f>IF(A95="","",IF(ABS(M95-N95)&lt;=1,"OK","CHECK"))</f>
        <v/>
      </c>
      <c r="P95">
        <f>IF(M95="","",IF(F95=0,99,M95/F95))</f>
        <v/>
      </c>
      <c r="Q95" s="2">
        <f>IF(P95="","",IF(COUNTA($P$2:$P$300)&lt;=1,0,PERCENTRANK.INC($P$2:$P$300,P95)))</f>
        <v/>
      </c>
      <c r="R95" s="2">
        <f>IF(A95="","",0.45*H95+0.35*Q95+0.20*J95)</f>
        <v/>
      </c>
      <c r="S95">
        <f>IF(G95="","",IF(G95&lt;=0.33,"Low Movement",IF(G95&lt;=0.66,"Medium Movement","High Movement")))</f>
        <v/>
      </c>
      <c r="T95">
        <f>IF(R95="","",IF(R95&gt;=0.67,"High Value Bundle",IF(R95&gt;=0.34,"Medium Value Bundle","Low Value Bundle")))</f>
        <v/>
      </c>
      <c r="U95">
        <f>IF(A95="","",IF(AND(G95&gt;=0.70,J95&gt;=0.70,M95&gt;0),"Yes","No"))</f>
        <v/>
      </c>
      <c r="V95">
        <f>IF(A95="","",IF(AND(S95="Low Movement",M95&gt;0,P95&gt;=2),"Yes","No"))</f>
        <v/>
      </c>
      <c r="W95" s="2">
        <f>IF(T95="","",MIN(0.12,IF(T95="High Value Bundle",0.05,IF(T95="Medium Value Bundle",0.07,0.10))+IF(P95&gt;=8,0.02,0)))</f>
        <v/>
      </c>
      <c r="X95">
        <f>IF(U95="Yes",C95&amp;"|anchor","")</f>
        <v/>
      </c>
      <c r="Y95">
        <f>IF(U95="Yes",B95,"")</f>
        <v/>
      </c>
    </row>
    <row r="96">
      <c r="A96">
        <f>Input_Data!C96</f>
        <v/>
      </c>
      <c r="B96">
        <f>Input_Data!A96</f>
        <v/>
      </c>
      <c r="C96">
        <f>Input_Data!B96</f>
        <v/>
      </c>
      <c r="D96">
        <f>Input_Data!D96</f>
        <v/>
      </c>
      <c r="E96">
        <f>IF(A96="","",SUM(Input_Data!E96:H96))</f>
        <v/>
      </c>
      <c r="F96">
        <f>IF(E96="","",E96/4)</f>
        <v/>
      </c>
      <c r="G96" s="2">
        <f>IF(E96="","",IF(COUNTA($E$2:$E$300)&lt;=1,0,PERCENTRANK.INC($E$2:$E$300,E96)))</f>
        <v/>
      </c>
      <c r="H96" s="2">
        <f>IF(G96="","",1-G96)</f>
        <v/>
      </c>
      <c r="I96" s="2">
        <f>Input_Data!I96</f>
        <v/>
      </c>
      <c r="J96" s="2">
        <f>IF(I96="","",IF(COUNTA($I$2:$I$300)&lt;=1,0,PERCENTRANK.INC($I$2:$I$300,I96)))</f>
        <v/>
      </c>
      <c r="K96">
        <f>Input_Data!J96</f>
        <v/>
      </c>
      <c r="L96">
        <f>Input_Data!K96</f>
        <v/>
      </c>
      <c r="M96">
        <f>Input_Data!L96</f>
        <v/>
      </c>
      <c r="N96">
        <f>IF(K96="","",K96-L96)</f>
        <v/>
      </c>
      <c r="O96">
        <f>IF(A96="","",IF(ABS(M96-N96)&lt;=1,"OK","CHECK"))</f>
        <v/>
      </c>
      <c r="P96">
        <f>IF(M96="","",IF(F96=0,99,M96/F96))</f>
        <v/>
      </c>
      <c r="Q96" s="2">
        <f>IF(P96="","",IF(COUNTA($P$2:$P$300)&lt;=1,0,PERCENTRANK.INC($P$2:$P$300,P96)))</f>
        <v/>
      </c>
      <c r="R96" s="2">
        <f>IF(A96="","",0.45*H96+0.35*Q96+0.20*J96)</f>
        <v/>
      </c>
      <c r="S96">
        <f>IF(G96="","",IF(G96&lt;=0.33,"Low Movement",IF(G96&lt;=0.66,"Medium Movement","High Movement")))</f>
        <v/>
      </c>
      <c r="T96">
        <f>IF(R96="","",IF(R96&gt;=0.67,"High Value Bundle",IF(R96&gt;=0.34,"Medium Value Bundle","Low Value Bundle")))</f>
        <v/>
      </c>
      <c r="U96">
        <f>IF(A96="","",IF(AND(G96&gt;=0.70,J96&gt;=0.70,M96&gt;0),"Yes","No"))</f>
        <v/>
      </c>
      <c r="V96">
        <f>IF(A96="","",IF(AND(S96="Low Movement",M96&gt;0,P96&gt;=2),"Yes","No"))</f>
        <v/>
      </c>
      <c r="W96" s="2">
        <f>IF(T96="","",MIN(0.12,IF(T96="High Value Bundle",0.05,IF(T96="Medium Value Bundle",0.07,0.10))+IF(P96&gt;=8,0.02,0)))</f>
        <v/>
      </c>
      <c r="X96">
        <f>IF(U96="Yes",C96&amp;"|anchor","")</f>
        <v/>
      </c>
      <c r="Y96">
        <f>IF(U96="Yes",B96,"")</f>
        <v/>
      </c>
    </row>
    <row r="97">
      <c r="A97">
        <f>Input_Data!C97</f>
        <v/>
      </c>
      <c r="B97">
        <f>Input_Data!A97</f>
        <v/>
      </c>
      <c r="C97">
        <f>Input_Data!B97</f>
        <v/>
      </c>
      <c r="D97">
        <f>Input_Data!D97</f>
        <v/>
      </c>
      <c r="E97">
        <f>IF(A97="","",SUM(Input_Data!E97:H97))</f>
        <v/>
      </c>
      <c r="F97">
        <f>IF(E97="","",E97/4)</f>
        <v/>
      </c>
      <c r="G97" s="2">
        <f>IF(E97="","",IF(COUNTA($E$2:$E$300)&lt;=1,0,PERCENTRANK.INC($E$2:$E$300,E97)))</f>
        <v/>
      </c>
      <c r="H97" s="2">
        <f>IF(G97="","",1-G97)</f>
        <v/>
      </c>
      <c r="I97" s="2">
        <f>Input_Data!I97</f>
        <v/>
      </c>
      <c r="J97" s="2">
        <f>IF(I97="","",IF(COUNTA($I$2:$I$300)&lt;=1,0,PERCENTRANK.INC($I$2:$I$300,I97)))</f>
        <v/>
      </c>
      <c r="K97">
        <f>Input_Data!J97</f>
        <v/>
      </c>
      <c r="L97">
        <f>Input_Data!K97</f>
        <v/>
      </c>
      <c r="M97">
        <f>Input_Data!L97</f>
        <v/>
      </c>
      <c r="N97">
        <f>IF(K97="","",K97-L97)</f>
        <v/>
      </c>
      <c r="O97">
        <f>IF(A97="","",IF(ABS(M97-N97)&lt;=1,"OK","CHECK"))</f>
        <v/>
      </c>
      <c r="P97">
        <f>IF(M97="","",IF(F97=0,99,M97/F97))</f>
        <v/>
      </c>
      <c r="Q97" s="2">
        <f>IF(P97="","",IF(COUNTA($P$2:$P$300)&lt;=1,0,PERCENTRANK.INC($P$2:$P$300,P97)))</f>
        <v/>
      </c>
      <c r="R97" s="2">
        <f>IF(A97="","",0.45*H97+0.35*Q97+0.20*J97)</f>
        <v/>
      </c>
      <c r="S97">
        <f>IF(G97="","",IF(G97&lt;=0.33,"Low Movement",IF(G97&lt;=0.66,"Medium Movement","High Movement")))</f>
        <v/>
      </c>
      <c r="T97">
        <f>IF(R97="","",IF(R97&gt;=0.67,"High Value Bundle",IF(R97&gt;=0.34,"Medium Value Bundle","Low Value Bundle")))</f>
        <v/>
      </c>
      <c r="U97">
        <f>IF(A97="","",IF(AND(G97&gt;=0.70,J97&gt;=0.70,M97&gt;0),"Yes","No"))</f>
        <v/>
      </c>
      <c r="V97">
        <f>IF(A97="","",IF(AND(S97="Low Movement",M97&gt;0,P97&gt;=2),"Yes","No"))</f>
        <v/>
      </c>
      <c r="W97" s="2">
        <f>IF(T97="","",MIN(0.12,IF(T97="High Value Bundle",0.05,IF(T97="Medium Value Bundle",0.07,0.10))+IF(P97&gt;=8,0.02,0)))</f>
        <v/>
      </c>
      <c r="X97">
        <f>IF(U97="Yes",C97&amp;"|anchor","")</f>
        <v/>
      </c>
      <c r="Y97">
        <f>IF(U97="Yes",B97,"")</f>
        <v/>
      </c>
    </row>
    <row r="98">
      <c r="A98">
        <f>Input_Data!C98</f>
        <v/>
      </c>
      <c r="B98">
        <f>Input_Data!A98</f>
        <v/>
      </c>
      <c r="C98">
        <f>Input_Data!B98</f>
        <v/>
      </c>
      <c r="D98">
        <f>Input_Data!D98</f>
        <v/>
      </c>
      <c r="E98">
        <f>IF(A98="","",SUM(Input_Data!E98:H98))</f>
        <v/>
      </c>
      <c r="F98">
        <f>IF(E98="","",E98/4)</f>
        <v/>
      </c>
      <c r="G98" s="2">
        <f>IF(E98="","",IF(COUNTA($E$2:$E$300)&lt;=1,0,PERCENTRANK.INC($E$2:$E$300,E98)))</f>
        <v/>
      </c>
      <c r="H98" s="2">
        <f>IF(G98="","",1-G98)</f>
        <v/>
      </c>
      <c r="I98" s="2">
        <f>Input_Data!I98</f>
        <v/>
      </c>
      <c r="J98" s="2">
        <f>IF(I98="","",IF(COUNTA($I$2:$I$300)&lt;=1,0,PERCENTRANK.INC($I$2:$I$300,I98)))</f>
        <v/>
      </c>
      <c r="K98">
        <f>Input_Data!J98</f>
        <v/>
      </c>
      <c r="L98">
        <f>Input_Data!K98</f>
        <v/>
      </c>
      <c r="M98">
        <f>Input_Data!L98</f>
        <v/>
      </c>
      <c r="N98">
        <f>IF(K98="","",K98-L98)</f>
        <v/>
      </c>
      <c r="O98">
        <f>IF(A98="","",IF(ABS(M98-N98)&lt;=1,"OK","CHECK"))</f>
        <v/>
      </c>
      <c r="P98">
        <f>IF(M98="","",IF(F98=0,99,M98/F98))</f>
        <v/>
      </c>
      <c r="Q98" s="2">
        <f>IF(P98="","",IF(COUNTA($P$2:$P$300)&lt;=1,0,PERCENTRANK.INC($P$2:$P$300,P98)))</f>
        <v/>
      </c>
      <c r="R98" s="2">
        <f>IF(A98="","",0.45*H98+0.35*Q98+0.20*J98)</f>
        <v/>
      </c>
      <c r="S98">
        <f>IF(G98="","",IF(G98&lt;=0.33,"Low Movement",IF(G98&lt;=0.66,"Medium Movement","High Movement")))</f>
        <v/>
      </c>
      <c r="T98">
        <f>IF(R98="","",IF(R98&gt;=0.67,"High Value Bundle",IF(R98&gt;=0.34,"Medium Value Bundle","Low Value Bundle")))</f>
        <v/>
      </c>
      <c r="U98">
        <f>IF(A98="","",IF(AND(G98&gt;=0.70,J98&gt;=0.70,M98&gt;0),"Yes","No"))</f>
        <v/>
      </c>
      <c r="V98">
        <f>IF(A98="","",IF(AND(S98="Low Movement",M98&gt;0,P98&gt;=2),"Yes","No"))</f>
        <v/>
      </c>
      <c r="W98" s="2">
        <f>IF(T98="","",MIN(0.12,IF(T98="High Value Bundle",0.05,IF(T98="Medium Value Bundle",0.07,0.10))+IF(P98&gt;=8,0.02,0)))</f>
        <v/>
      </c>
      <c r="X98">
        <f>IF(U98="Yes",C98&amp;"|anchor","")</f>
        <v/>
      </c>
      <c r="Y98">
        <f>IF(U98="Yes",B98,"")</f>
        <v/>
      </c>
    </row>
    <row r="99">
      <c r="A99">
        <f>Input_Data!C99</f>
        <v/>
      </c>
      <c r="B99">
        <f>Input_Data!A99</f>
        <v/>
      </c>
      <c r="C99">
        <f>Input_Data!B99</f>
        <v/>
      </c>
      <c r="D99">
        <f>Input_Data!D99</f>
        <v/>
      </c>
      <c r="E99">
        <f>IF(A99="","",SUM(Input_Data!E99:H99))</f>
        <v/>
      </c>
      <c r="F99">
        <f>IF(E99="","",E99/4)</f>
        <v/>
      </c>
      <c r="G99" s="2">
        <f>IF(E99="","",IF(COUNTA($E$2:$E$300)&lt;=1,0,PERCENTRANK.INC($E$2:$E$300,E99)))</f>
        <v/>
      </c>
      <c r="H99" s="2">
        <f>IF(G99="","",1-G99)</f>
        <v/>
      </c>
      <c r="I99" s="2">
        <f>Input_Data!I99</f>
        <v/>
      </c>
      <c r="J99" s="2">
        <f>IF(I99="","",IF(COUNTA($I$2:$I$300)&lt;=1,0,PERCENTRANK.INC($I$2:$I$300,I99)))</f>
        <v/>
      </c>
      <c r="K99">
        <f>Input_Data!J99</f>
        <v/>
      </c>
      <c r="L99">
        <f>Input_Data!K99</f>
        <v/>
      </c>
      <c r="M99">
        <f>Input_Data!L99</f>
        <v/>
      </c>
      <c r="N99">
        <f>IF(K99="","",K99-L99)</f>
        <v/>
      </c>
      <c r="O99">
        <f>IF(A99="","",IF(ABS(M99-N99)&lt;=1,"OK","CHECK"))</f>
        <v/>
      </c>
      <c r="P99">
        <f>IF(M99="","",IF(F99=0,99,M99/F99))</f>
        <v/>
      </c>
      <c r="Q99" s="2">
        <f>IF(P99="","",IF(COUNTA($P$2:$P$300)&lt;=1,0,PERCENTRANK.INC($P$2:$P$300,P99)))</f>
        <v/>
      </c>
      <c r="R99" s="2">
        <f>IF(A99="","",0.45*H99+0.35*Q99+0.20*J99)</f>
        <v/>
      </c>
      <c r="S99">
        <f>IF(G99="","",IF(G99&lt;=0.33,"Low Movement",IF(G99&lt;=0.66,"Medium Movement","High Movement")))</f>
        <v/>
      </c>
      <c r="T99">
        <f>IF(R99="","",IF(R99&gt;=0.67,"High Value Bundle",IF(R99&gt;=0.34,"Medium Value Bundle","Low Value Bundle")))</f>
        <v/>
      </c>
      <c r="U99">
        <f>IF(A99="","",IF(AND(G99&gt;=0.70,J99&gt;=0.70,M99&gt;0),"Yes","No"))</f>
        <v/>
      </c>
      <c r="V99">
        <f>IF(A99="","",IF(AND(S99="Low Movement",M99&gt;0,P99&gt;=2),"Yes","No"))</f>
        <v/>
      </c>
      <c r="W99" s="2">
        <f>IF(T99="","",MIN(0.12,IF(T99="High Value Bundle",0.05,IF(T99="Medium Value Bundle",0.07,0.10))+IF(P99&gt;=8,0.02,0)))</f>
        <v/>
      </c>
      <c r="X99">
        <f>IF(U99="Yes",C99&amp;"|anchor","")</f>
        <v/>
      </c>
      <c r="Y99">
        <f>IF(U99="Yes",B99,"")</f>
        <v/>
      </c>
    </row>
    <row r="100">
      <c r="A100">
        <f>Input_Data!C100</f>
        <v/>
      </c>
      <c r="B100">
        <f>Input_Data!A100</f>
        <v/>
      </c>
      <c r="C100">
        <f>Input_Data!B100</f>
        <v/>
      </c>
      <c r="D100">
        <f>Input_Data!D100</f>
        <v/>
      </c>
      <c r="E100">
        <f>IF(A100="","",SUM(Input_Data!E100:H100))</f>
        <v/>
      </c>
      <c r="F100">
        <f>IF(E100="","",E100/4)</f>
        <v/>
      </c>
      <c r="G100" s="2">
        <f>IF(E100="","",IF(COUNTA($E$2:$E$300)&lt;=1,0,PERCENTRANK.INC($E$2:$E$300,E100)))</f>
        <v/>
      </c>
      <c r="H100" s="2">
        <f>IF(G100="","",1-G100)</f>
        <v/>
      </c>
      <c r="I100" s="2">
        <f>Input_Data!I100</f>
        <v/>
      </c>
      <c r="J100" s="2">
        <f>IF(I100="","",IF(COUNTA($I$2:$I$300)&lt;=1,0,PERCENTRANK.INC($I$2:$I$300,I100)))</f>
        <v/>
      </c>
      <c r="K100">
        <f>Input_Data!J100</f>
        <v/>
      </c>
      <c r="L100">
        <f>Input_Data!K100</f>
        <v/>
      </c>
      <c r="M100">
        <f>Input_Data!L100</f>
        <v/>
      </c>
      <c r="N100">
        <f>IF(K100="","",K100-L100)</f>
        <v/>
      </c>
      <c r="O100">
        <f>IF(A100="","",IF(ABS(M100-N100)&lt;=1,"OK","CHECK"))</f>
        <v/>
      </c>
      <c r="P100">
        <f>IF(M100="","",IF(F100=0,99,M100/F100))</f>
        <v/>
      </c>
      <c r="Q100" s="2">
        <f>IF(P100="","",IF(COUNTA($P$2:$P$300)&lt;=1,0,PERCENTRANK.INC($P$2:$P$300,P100)))</f>
        <v/>
      </c>
      <c r="R100" s="2">
        <f>IF(A100="","",0.45*H100+0.35*Q100+0.20*J100)</f>
        <v/>
      </c>
      <c r="S100">
        <f>IF(G100="","",IF(G100&lt;=0.33,"Low Movement",IF(G100&lt;=0.66,"Medium Movement","High Movement")))</f>
        <v/>
      </c>
      <c r="T100">
        <f>IF(R100="","",IF(R100&gt;=0.67,"High Value Bundle",IF(R100&gt;=0.34,"Medium Value Bundle","Low Value Bundle")))</f>
        <v/>
      </c>
      <c r="U100">
        <f>IF(A100="","",IF(AND(G100&gt;=0.70,J100&gt;=0.70,M100&gt;0),"Yes","No"))</f>
        <v/>
      </c>
      <c r="V100">
        <f>IF(A100="","",IF(AND(S100="Low Movement",M100&gt;0,P100&gt;=2),"Yes","No"))</f>
        <v/>
      </c>
      <c r="W100" s="2">
        <f>IF(T100="","",MIN(0.12,IF(T100="High Value Bundle",0.05,IF(T100="Medium Value Bundle",0.07,0.10))+IF(P100&gt;=8,0.02,0)))</f>
        <v/>
      </c>
      <c r="X100">
        <f>IF(U100="Yes",C100&amp;"|anchor","")</f>
        <v/>
      </c>
      <c r="Y100">
        <f>IF(U100="Yes",B100,"")</f>
        <v/>
      </c>
    </row>
    <row r="101">
      <c r="A101">
        <f>Input_Data!C101</f>
        <v/>
      </c>
      <c r="B101">
        <f>Input_Data!A101</f>
        <v/>
      </c>
      <c r="C101">
        <f>Input_Data!B101</f>
        <v/>
      </c>
      <c r="D101">
        <f>Input_Data!D101</f>
        <v/>
      </c>
      <c r="E101">
        <f>IF(A101="","",SUM(Input_Data!E101:H101))</f>
        <v/>
      </c>
      <c r="F101">
        <f>IF(E101="","",E101/4)</f>
        <v/>
      </c>
      <c r="G101" s="2">
        <f>IF(E101="","",IF(COUNTA($E$2:$E$300)&lt;=1,0,PERCENTRANK.INC($E$2:$E$300,E101)))</f>
        <v/>
      </c>
      <c r="H101" s="2">
        <f>IF(G101="","",1-G101)</f>
        <v/>
      </c>
      <c r="I101" s="2">
        <f>Input_Data!I101</f>
        <v/>
      </c>
      <c r="J101" s="2">
        <f>IF(I101="","",IF(COUNTA($I$2:$I$300)&lt;=1,0,PERCENTRANK.INC($I$2:$I$300,I101)))</f>
        <v/>
      </c>
      <c r="K101">
        <f>Input_Data!J101</f>
        <v/>
      </c>
      <c r="L101">
        <f>Input_Data!K101</f>
        <v/>
      </c>
      <c r="M101">
        <f>Input_Data!L101</f>
        <v/>
      </c>
      <c r="N101">
        <f>IF(K101="","",K101-L101)</f>
        <v/>
      </c>
      <c r="O101">
        <f>IF(A101="","",IF(ABS(M101-N101)&lt;=1,"OK","CHECK"))</f>
        <v/>
      </c>
      <c r="P101">
        <f>IF(M101="","",IF(F101=0,99,M101/F101))</f>
        <v/>
      </c>
      <c r="Q101" s="2">
        <f>IF(P101="","",IF(COUNTA($P$2:$P$300)&lt;=1,0,PERCENTRANK.INC($P$2:$P$300,P101)))</f>
        <v/>
      </c>
      <c r="R101" s="2">
        <f>IF(A101="","",0.45*H101+0.35*Q101+0.20*J101)</f>
        <v/>
      </c>
      <c r="S101">
        <f>IF(G101="","",IF(G101&lt;=0.33,"Low Movement",IF(G101&lt;=0.66,"Medium Movement","High Movement")))</f>
        <v/>
      </c>
      <c r="T101">
        <f>IF(R101="","",IF(R101&gt;=0.67,"High Value Bundle",IF(R101&gt;=0.34,"Medium Value Bundle","Low Value Bundle")))</f>
        <v/>
      </c>
      <c r="U101">
        <f>IF(A101="","",IF(AND(G101&gt;=0.70,J101&gt;=0.70,M101&gt;0),"Yes","No"))</f>
        <v/>
      </c>
      <c r="V101">
        <f>IF(A101="","",IF(AND(S101="Low Movement",M101&gt;0,P101&gt;=2),"Yes","No"))</f>
        <v/>
      </c>
      <c r="W101" s="2">
        <f>IF(T101="","",MIN(0.12,IF(T101="High Value Bundle",0.05,IF(T101="Medium Value Bundle",0.07,0.10))+IF(P101&gt;=8,0.02,0)))</f>
        <v/>
      </c>
      <c r="X101">
        <f>IF(U101="Yes",C101&amp;"|anchor","")</f>
        <v/>
      </c>
      <c r="Y101">
        <f>IF(U101="Yes",B101,"")</f>
        <v/>
      </c>
    </row>
    <row r="102">
      <c r="A102">
        <f>Input_Data!C102</f>
        <v/>
      </c>
      <c r="B102">
        <f>Input_Data!A102</f>
        <v/>
      </c>
      <c r="C102">
        <f>Input_Data!B102</f>
        <v/>
      </c>
      <c r="D102">
        <f>Input_Data!D102</f>
        <v/>
      </c>
      <c r="E102">
        <f>IF(A102="","",SUM(Input_Data!E102:H102))</f>
        <v/>
      </c>
      <c r="F102">
        <f>IF(E102="","",E102/4)</f>
        <v/>
      </c>
      <c r="G102" s="2">
        <f>IF(E102="","",IF(COUNTA($E$2:$E$300)&lt;=1,0,PERCENTRANK.INC($E$2:$E$300,E102)))</f>
        <v/>
      </c>
      <c r="H102" s="2">
        <f>IF(G102="","",1-G102)</f>
        <v/>
      </c>
      <c r="I102" s="2">
        <f>Input_Data!I102</f>
        <v/>
      </c>
      <c r="J102" s="2">
        <f>IF(I102="","",IF(COUNTA($I$2:$I$300)&lt;=1,0,PERCENTRANK.INC($I$2:$I$300,I102)))</f>
        <v/>
      </c>
      <c r="K102">
        <f>Input_Data!J102</f>
        <v/>
      </c>
      <c r="L102">
        <f>Input_Data!K102</f>
        <v/>
      </c>
      <c r="M102">
        <f>Input_Data!L102</f>
        <v/>
      </c>
      <c r="N102">
        <f>IF(K102="","",K102-L102)</f>
        <v/>
      </c>
      <c r="O102">
        <f>IF(A102="","",IF(ABS(M102-N102)&lt;=1,"OK","CHECK"))</f>
        <v/>
      </c>
      <c r="P102">
        <f>IF(M102="","",IF(F102=0,99,M102/F102))</f>
        <v/>
      </c>
      <c r="Q102" s="2">
        <f>IF(P102="","",IF(COUNTA($P$2:$P$300)&lt;=1,0,PERCENTRANK.INC($P$2:$P$300,P102)))</f>
        <v/>
      </c>
      <c r="R102" s="2">
        <f>IF(A102="","",0.45*H102+0.35*Q102+0.20*J102)</f>
        <v/>
      </c>
      <c r="S102">
        <f>IF(G102="","",IF(G102&lt;=0.33,"Low Movement",IF(G102&lt;=0.66,"Medium Movement","High Movement")))</f>
        <v/>
      </c>
      <c r="T102">
        <f>IF(R102="","",IF(R102&gt;=0.67,"High Value Bundle",IF(R102&gt;=0.34,"Medium Value Bundle","Low Value Bundle")))</f>
        <v/>
      </c>
      <c r="U102">
        <f>IF(A102="","",IF(AND(G102&gt;=0.70,J102&gt;=0.70,M102&gt;0),"Yes","No"))</f>
        <v/>
      </c>
      <c r="V102">
        <f>IF(A102="","",IF(AND(S102="Low Movement",M102&gt;0,P102&gt;=2),"Yes","No"))</f>
        <v/>
      </c>
      <c r="W102" s="2">
        <f>IF(T102="","",MIN(0.12,IF(T102="High Value Bundle",0.05,IF(T102="Medium Value Bundle",0.07,0.10))+IF(P102&gt;=8,0.02,0)))</f>
        <v/>
      </c>
      <c r="X102">
        <f>IF(U102="Yes",C102&amp;"|anchor","")</f>
        <v/>
      </c>
      <c r="Y102">
        <f>IF(U102="Yes",B102,"")</f>
        <v/>
      </c>
    </row>
    <row r="103">
      <c r="A103">
        <f>Input_Data!C103</f>
        <v/>
      </c>
      <c r="B103">
        <f>Input_Data!A103</f>
        <v/>
      </c>
      <c r="C103">
        <f>Input_Data!B103</f>
        <v/>
      </c>
      <c r="D103">
        <f>Input_Data!D103</f>
        <v/>
      </c>
      <c r="E103">
        <f>IF(A103="","",SUM(Input_Data!E103:H103))</f>
        <v/>
      </c>
      <c r="F103">
        <f>IF(E103="","",E103/4)</f>
        <v/>
      </c>
      <c r="G103" s="2">
        <f>IF(E103="","",IF(COUNTA($E$2:$E$300)&lt;=1,0,PERCENTRANK.INC($E$2:$E$300,E103)))</f>
        <v/>
      </c>
      <c r="H103" s="2">
        <f>IF(G103="","",1-G103)</f>
        <v/>
      </c>
      <c r="I103" s="2">
        <f>Input_Data!I103</f>
        <v/>
      </c>
      <c r="J103" s="2">
        <f>IF(I103="","",IF(COUNTA($I$2:$I$300)&lt;=1,0,PERCENTRANK.INC($I$2:$I$300,I103)))</f>
        <v/>
      </c>
      <c r="K103">
        <f>Input_Data!J103</f>
        <v/>
      </c>
      <c r="L103">
        <f>Input_Data!K103</f>
        <v/>
      </c>
      <c r="M103">
        <f>Input_Data!L103</f>
        <v/>
      </c>
      <c r="N103">
        <f>IF(K103="","",K103-L103)</f>
        <v/>
      </c>
      <c r="O103">
        <f>IF(A103="","",IF(ABS(M103-N103)&lt;=1,"OK","CHECK"))</f>
        <v/>
      </c>
      <c r="P103">
        <f>IF(M103="","",IF(F103=0,99,M103/F103))</f>
        <v/>
      </c>
      <c r="Q103" s="2">
        <f>IF(P103="","",IF(COUNTA($P$2:$P$300)&lt;=1,0,PERCENTRANK.INC($P$2:$P$300,P103)))</f>
        <v/>
      </c>
      <c r="R103" s="2">
        <f>IF(A103="","",0.45*H103+0.35*Q103+0.20*J103)</f>
        <v/>
      </c>
      <c r="S103">
        <f>IF(G103="","",IF(G103&lt;=0.33,"Low Movement",IF(G103&lt;=0.66,"Medium Movement","High Movement")))</f>
        <v/>
      </c>
      <c r="T103">
        <f>IF(R103="","",IF(R103&gt;=0.67,"High Value Bundle",IF(R103&gt;=0.34,"Medium Value Bundle","Low Value Bundle")))</f>
        <v/>
      </c>
      <c r="U103">
        <f>IF(A103="","",IF(AND(G103&gt;=0.70,J103&gt;=0.70,M103&gt;0),"Yes","No"))</f>
        <v/>
      </c>
      <c r="V103">
        <f>IF(A103="","",IF(AND(S103="Low Movement",M103&gt;0,P103&gt;=2),"Yes","No"))</f>
        <v/>
      </c>
      <c r="W103" s="2">
        <f>IF(T103="","",MIN(0.12,IF(T103="High Value Bundle",0.05,IF(T103="Medium Value Bundle",0.07,0.10))+IF(P103&gt;=8,0.02,0)))</f>
        <v/>
      </c>
      <c r="X103">
        <f>IF(U103="Yes",C103&amp;"|anchor","")</f>
        <v/>
      </c>
      <c r="Y103">
        <f>IF(U103="Yes",B103,"")</f>
        <v/>
      </c>
    </row>
    <row r="104">
      <c r="A104">
        <f>Input_Data!C104</f>
        <v/>
      </c>
      <c r="B104">
        <f>Input_Data!A104</f>
        <v/>
      </c>
      <c r="C104">
        <f>Input_Data!B104</f>
        <v/>
      </c>
      <c r="D104">
        <f>Input_Data!D104</f>
        <v/>
      </c>
      <c r="E104">
        <f>IF(A104="","",SUM(Input_Data!E104:H104))</f>
        <v/>
      </c>
      <c r="F104">
        <f>IF(E104="","",E104/4)</f>
        <v/>
      </c>
      <c r="G104" s="2">
        <f>IF(E104="","",IF(COUNTA($E$2:$E$300)&lt;=1,0,PERCENTRANK.INC($E$2:$E$300,E104)))</f>
        <v/>
      </c>
      <c r="H104" s="2">
        <f>IF(G104="","",1-G104)</f>
        <v/>
      </c>
      <c r="I104" s="2">
        <f>Input_Data!I104</f>
        <v/>
      </c>
      <c r="J104" s="2">
        <f>IF(I104="","",IF(COUNTA($I$2:$I$300)&lt;=1,0,PERCENTRANK.INC($I$2:$I$300,I104)))</f>
        <v/>
      </c>
      <c r="K104">
        <f>Input_Data!J104</f>
        <v/>
      </c>
      <c r="L104">
        <f>Input_Data!K104</f>
        <v/>
      </c>
      <c r="M104">
        <f>Input_Data!L104</f>
        <v/>
      </c>
      <c r="N104">
        <f>IF(K104="","",K104-L104)</f>
        <v/>
      </c>
      <c r="O104">
        <f>IF(A104="","",IF(ABS(M104-N104)&lt;=1,"OK","CHECK"))</f>
        <v/>
      </c>
      <c r="P104">
        <f>IF(M104="","",IF(F104=0,99,M104/F104))</f>
        <v/>
      </c>
      <c r="Q104" s="2">
        <f>IF(P104="","",IF(COUNTA($P$2:$P$300)&lt;=1,0,PERCENTRANK.INC($P$2:$P$300,P104)))</f>
        <v/>
      </c>
      <c r="R104" s="2">
        <f>IF(A104="","",0.45*H104+0.35*Q104+0.20*J104)</f>
        <v/>
      </c>
      <c r="S104">
        <f>IF(G104="","",IF(G104&lt;=0.33,"Low Movement",IF(G104&lt;=0.66,"Medium Movement","High Movement")))</f>
        <v/>
      </c>
      <c r="T104">
        <f>IF(R104="","",IF(R104&gt;=0.67,"High Value Bundle",IF(R104&gt;=0.34,"Medium Value Bundle","Low Value Bundle")))</f>
        <v/>
      </c>
      <c r="U104">
        <f>IF(A104="","",IF(AND(G104&gt;=0.70,J104&gt;=0.70,M104&gt;0),"Yes","No"))</f>
        <v/>
      </c>
      <c r="V104">
        <f>IF(A104="","",IF(AND(S104="Low Movement",M104&gt;0,P104&gt;=2),"Yes","No"))</f>
        <v/>
      </c>
      <c r="W104" s="2">
        <f>IF(T104="","",MIN(0.12,IF(T104="High Value Bundle",0.05,IF(T104="Medium Value Bundle",0.07,0.10))+IF(P104&gt;=8,0.02,0)))</f>
        <v/>
      </c>
      <c r="X104">
        <f>IF(U104="Yes",C104&amp;"|anchor","")</f>
        <v/>
      </c>
      <c r="Y104">
        <f>IF(U104="Yes",B104,"")</f>
        <v/>
      </c>
    </row>
    <row r="105">
      <c r="A105">
        <f>Input_Data!C105</f>
        <v/>
      </c>
      <c r="B105">
        <f>Input_Data!A105</f>
        <v/>
      </c>
      <c r="C105">
        <f>Input_Data!B105</f>
        <v/>
      </c>
      <c r="D105">
        <f>Input_Data!D105</f>
        <v/>
      </c>
      <c r="E105">
        <f>IF(A105="","",SUM(Input_Data!E105:H105))</f>
        <v/>
      </c>
      <c r="F105">
        <f>IF(E105="","",E105/4)</f>
        <v/>
      </c>
      <c r="G105" s="2">
        <f>IF(E105="","",IF(COUNTA($E$2:$E$300)&lt;=1,0,PERCENTRANK.INC($E$2:$E$300,E105)))</f>
        <v/>
      </c>
      <c r="H105" s="2">
        <f>IF(G105="","",1-G105)</f>
        <v/>
      </c>
      <c r="I105" s="2">
        <f>Input_Data!I105</f>
        <v/>
      </c>
      <c r="J105" s="2">
        <f>IF(I105="","",IF(COUNTA($I$2:$I$300)&lt;=1,0,PERCENTRANK.INC($I$2:$I$300,I105)))</f>
        <v/>
      </c>
      <c r="K105">
        <f>Input_Data!J105</f>
        <v/>
      </c>
      <c r="L105">
        <f>Input_Data!K105</f>
        <v/>
      </c>
      <c r="M105">
        <f>Input_Data!L105</f>
        <v/>
      </c>
      <c r="N105">
        <f>IF(K105="","",K105-L105)</f>
        <v/>
      </c>
      <c r="O105">
        <f>IF(A105="","",IF(ABS(M105-N105)&lt;=1,"OK","CHECK"))</f>
        <v/>
      </c>
      <c r="P105">
        <f>IF(M105="","",IF(F105=0,99,M105/F105))</f>
        <v/>
      </c>
      <c r="Q105" s="2">
        <f>IF(P105="","",IF(COUNTA($P$2:$P$300)&lt;=1,0,PERCENTRANK.INC($P$2:$P$300,P105)))</f>
        <v/>
      </c>
      <c r="R105" s="2">
        <f>IF(A105="","",0.45*H105+0.35*Q105+0.20*J105)</f>
        <v/>
      </c>
      <c r="S105">
        <f>IF(G105="","",IF(G105&lt;=0.33,"Low Movement",IF(G105&lt;=0.66,"Medium Movement","High Movement")))</f>
        <v/>
      </c>
      <c r="T105">
        <f>IF(R105="","",IF(R105&gt;=0.67,"High Value Bundle",IF(R105&gt;=0.34,"Medium Value Bundle","Low Value Bundle")))</f>
        <v/>
      </c>
      <c r="U105">
        <f>IF(A105="","",IF(AND(G105&gt;=0.70,J105&gt;=0.70,M105&gt;0),"Yes","No"))</f>
        <v/>
      </c>
      <c r="V105">
        <f>IF(A105="","",IF(AND(S105="Low Movement",M105&gt;0,P105&gt;=2),"Yes","No"))</f>
        <v/>
      </c>
      <c r="W105" s="2">
        <f>IF(T105="","",MIN(0.12,IF(T105="High Value Bundle",0.05,IF(T105="Medium Value Bundle",0.07,0.10))+IF(P105&gt;=8,0.02,0)))</f>
        <v/>
      </c>
      <c r="X105">
        <f>IF(U105="Yes",C105&amp;"|anchor","")</f>
        <v/>
      </c>
      <c r="Y105">
        <f>IF(U105="Yes",B105,"")</f>
        <v/>
      </c>
    </row>
    <row r="106">
      <c r="A106">
        <f>Input_Data!C106</f>
        <v/>
      </c>
      <c r="B106">
        <f>Input_Data!A106</f>
        <v/>
      </c>
      <c r="C106">
        <f>Input_Data!B106</f>
        <v/>
      </c>
      <c r="D106">
        <f>Input_Data!D106</f>
        <v/>
      </c>
      <c r="E106">
        <f>IF(A106="","",SUM(Input_Data!E106:H106))</f>
        <v/>
      </c>
      <c r="F106">
        <f>IF(E106="","",E106/4)</f>
        <v/>
      </c>
      <c r="G106" s="2">
        <f>IF(E106="","",IF(COUNTA($E$2:$E$300)&lt;=1,0,PERCENTRANK.INC($E$2:$E$300,E106)))</f>
        <v/>
      </c>
      <c r="H106" s="2">
        <f>IF(G106="","",1-G106)</f>
        <v/>
      </c>
      <c r="I106" s="2">
        <f>Input_Data!I106</f>
        <v/>
      </c>
      <c r="J106" s="2">
        <f>IF(I106="","",IF(COUNTA($I$2:$I$300)&lt;=1,0,PERCENTRANK.INC($I$2:$I$300,I106)))</f>
        <v/>
      </c>
      <c r="K106">
        <f>Input_Data!J106</f>
        <v/>
      </c>
      <c r="L106">
        <f>Input_Data!K106</f>
        <v/>
      </c>
      <c r="M106">
        <f>Input_Data!L106</f>
        <v/>
      </c>
      <c r="N106">
        <f>IF(K106="","",K106-L106)</f>
        <v/>
      </c>
      <c r="O106">
        <f>IF(A106="","",IF(ABS(M106-N106)&lt;=1,"OK","CHECK"))</f>
        <v/>
      </c>
      <c r="P106">
        <f>IF(M106="","",IF(F106=0,99,M106/F106))</f>
        <v/>
      </c>
      <c r="Q106" s="2">
        <f>IF(P106="","",IF(COUNTA($P$2:$P$300)&lt;=1,0,PERCENTRANK.INC($P$2:$P$300,P106)))</f>
        <v/>
      </c>
      <c r="R106" s="2">
        <f>IF(A106="","",0.45*H106+0.35*Q106+0.20*J106)</f>
        <v/>
      </c>
      <c r="S106">
        <f>IF(G106="","",IF(G106&lt;=0.33,"Low Movement",IF(G106&lt;=0.66,"Medium Movement","High Movement")))</f>
        <v/>
      </c>
      <c r="T106">
        <f>IF(R106="","",IF(R106&gt;=0.67,"High Value Bundle",IF(R106&gt;=0.34,"Medium Value Bundle","Low Value Bundle")))</f>
        <v/>
      </c>
      <c r="U106">
        <f>IF(A106="","",IF(AND(G106&gt;=0.70,J106&gt;=0.70,M106&gt;0),"Yes","No"))</f>
        <v/>
      </c>
      <c r="V106">
        <f>IF(A106="","",IF(AND(S106="Low Movement",M106&gt;0,P106&gt;=2),"Yes","No"))</f>
        <v/>
      </c>
      <c r="W106" s="2">
        <f>IF(T106="","",MIN(0.12,IF(T106="High Value Bundle",0.05,IF(T106="Medium Value Bundle",0.07,0.10))+IF(P106&gt;=8,0.02,0)))</f>
        <v/>
      </c>
      <c r="X106">
        <f>IF(U106="Yes",C106&amp;"|anchor","")</f>
        <v/>
      </c>
      <c r="Y106">
        <f>IF(U106="Yes",B106,"")</f>
        <v/>
      </c>
    </row>
    <row r="107">
      <c r="A107">
        <f>Input_Data!C107</f>
        <v/>
      </c>
      <c r="B107">
        <f>Input_Data!A107</f>
        <v/>
      </c>
      <c r="C107">
        <f>Input_Data!B107</f>
        <v/>
      </c>
      <c r="D107">
        <f>Input_Data!D107</f>
        <v/>
      </c>
      <c r="E107">
        <f>IF(A107="","",SUM(Input_Data!E107:H107))</f>
        <v/>
      </c>
      <c r="F107">
        <f>IF(E107="","",E107/4)</f>
        <v/>
      </c>
      <c r="G107" s="2">
        <f>IF(E107="","",IF(COUNTA($E$2:$E$300)&lt;=1,0,PERCENTRANK.INC($E$2:$E$300,E107)))</f>
        <v/>
      </c>
      <c r="H107" s="2">
        <f>IF(G107="","",1-G107)</f>
        <v/>
      </c>
      <c r="I107" s="2">
        <f>Input_Data!I107</f>
        <v/>
      </c>
      <c r="J107" s="2">
        <f>IF(I107="","",IF(COUNTA($I$2:$I$300)&lt;=1,0,PERCENTRANK.INC($I$2:$I$300,I107)))</f>
        <v/>
      </c>
      <c r="K107">
        <f>Input_Data!J107</f>
        <v/>
      </c>
      <c r="L107">
        <f>Input_Data!K107</f>
        <v/>
      </c>
      <c r="M107">
        <f>Input_Data!L107</f>
        <v/>
      </c>
      <c r="N107">
        <f>IF(K107="","",K107-L107)</f>
        <v/>
      </c>
      <c r="O107">
        <f>IF(A107="","",IF(ABS(M107-N107)&lt;=1,"OK","CHECK"))</f>
        <v/>
      </c>
      <c r="P107">
        <f>IF(M107="","",IF(F107=0,99,M107/F107))</f>
        <v/>
      </c>
      <c r="Q107" s="2">
        <f>IF(P107="","",IF(COUNTA($P$2:$P$300)&lt;=1,0,PERCENTRANK.INC($P$2:$P$300,P107)))</f>
        <v/>
      </c>
      <c r="R107" s="2">
        <f>IF(A107="","",0.45*H107+0.35*Q107+0.20*J107)</f>
        <v/>
      </c>
      <c r="S107">
        <f>IF(G107="","",IF(G107&lt;=0.33,"Low Movement",IF(G107&lt;=0.66,"Medium Movement","High Movement")))</f>
        <v/>
      </c>
      <c r="T107">
        <f>IF(R107="","",IF(R107&gt;=0.67,"High Value Bundle",IF(R107&gt;=0.34,"Medium Value Bundle","Low Value Bundle")))</f>
        <v/>
      </c>
      <c r="U107">
        <f>IF(A107="","",IF(AND(G107&gt;=0.70,J107&gt;=0.70,M107&gt;0),"Yes","No"))</f>
        <v/>
      </c>
      <c r="V107">
        <f>IF(A107="","",IF(AND(S107="Low Movement",M107&gt;0,P107&gt;=2),"Yes","No"))</f>
        <v/>
      </c>
      <c r="W107" s="2">
        <f>IF(T107="","",MIN(0.12,IF(T107="High Value Bundle",0.05,IF(T107="Medium Value Bundle",0.07,0.10))+IF(P107&gt;=8,0.02,0)))</f>
        <v/>
      </c>
      <c r="X107">
        <f>IF(U107="Yes",C107&amp;"|anchor","")</f>
        <v/>
      </c>
      <c r="Y107">
        <f>IF(U107="Yes",B107,"")</f>
        <v/>
      </c>
    </row>
    <row r="108">
      <c r="A108">
        <f>Input_Data!C108</f>
        <v/>
      </c>
      <c r="B108">
        <f>Input_Data!A108</f>
        <v/>
      </c>
      <c r="C108">
        <f>Input_Data!B108</f>
        <v/>
      </c>
      <c r="D108">
        <f>Input_Data!D108</f>
        <v/>
      </c>
      <c r="E108">
        <f>IF(A108="","",SUM(Input_Data!E108:H108))</f>
        <v/>
      </c>
      <c r="F108">
        <f>IF(E108="","",E108/4)</f>
        <v/>
      </c>
      <c r="G108" s="2">
        <f>IF(E108="","",IF(COUNTA($E$2:$E$300)&lt;=1,0,PERCENTRANK.INC($E$2:$E$300,E108)))</f>
        <v/>
      </c>
      <c r="H108" s="2">
        <f>IF(G108="","",1-G108)</f>
        <v/>
      </c>
      <c r="I108" s="2">
        <f>Input_Data!I108</f>
        <v/>
      </c>
      <c r="J108" s="2">
        <f>IF(I108="","",IF(COUNTA($I$2:$I$300)&lt;=1,0,PERCENTRANK.INC($I$2:$I$300,I108)))</f>
        <v/>
      </c>
      <c r="K108">
        <f>Input_Data!J108</f>
        <v/>
      </c>
      <c r="L108">
        <f>Input_Data!K108</f>
        <v/>
      </c>
      <c r="M108">
        <f>Input_Data!L108</f>
        <v/>
      </c>
      <c r="N108">
        <f>IF(K108="","",K108-L108)</f>
        <v/>
      </c>
      <c r="O108">
        <f>IF(A108="","",IF(ABS(M108-N108)&lt;=1,"OK","CHECK"))</f>
        <v/>
      </c>
      <c r="P108">
        <f>IF(M108="","",IF(F108=0,99,M108/F108))</f>
        <v/>
      </c>
      <c r="Q108" s="2">
        <f>IF(P108="","",IF(COUNTA($P$2:$P$300)&lt;=1,0,PERCENTRANK.INC($P$2:$P$300,P108)))</f>
        <v/>
      </c>
      <c r="R108" s="2">
        <f>IF(A108="","",0.45*H108+0.35*Q108+0.20*J108)</f>
        <v/>
      </c>
      <c r="S108">
        <f>IF(G108="","",IF(G108&lt;=0.33,"Low Movement",IF(G108&lt;=0.66,"Medium Movement","High Movement")))</f>
        <v/>
      </c>
      <c r="T108">
        <f>IF(R108="","",IF(R108&gt;=0.67,"High Value Bundle",IF(R108&gt;=0.34,"Medium Value Bundle","Low Value Bundle")))</f>
        <v/>
      </c>
      <c r="U108">
        <f>IF(A108="","",IF(AND(G108&gt;=0.70,J108&gt;=0.70,M108&gt;0),"Yes","No"))</f>
        <v/>
      </c>
      <c r="V108">
        <f>IF(A108="","",IF(AND(S108="Low Movement",M108&gt;0,P108&gt;=2),"Yes","No"))</f>
        <v/>
      </c>
      <c r="W108" s="2">
        <f>IF(T108="","",MIN(0.12,IF(T108="High Value Bundle",0.05,IF(T108="Medium Value Bundle",0.07,0.10))+IF(P108&gt;=8,0.02,0)))</f>
        <v/>
      </c>
      <c r="X108">
        <f>IF(U108="Yes",C108&amp;"|anchor","")</f>
        <v/>
      </c>
      <c r="Y108">
        <f>IF(U108="Yes",B108,"")</f>
        <v/>
      </c>
    </row>
    <row r="109">
      <c r="A109">
        <f>Input_Data!C109</f>
        <v/>
      </c>
      <c r="B109">
        <f>Input_Data!A109</f>
        <v/>
      </c>
      <c r="C109">
        <f>Input_Data!B109</f>
        <v/>
      </c>
      <c r="D109">
        <f>Input_Data!D109</f>
        <v/>
      </c>
      <c r="E109">
        <f>IF(A109="","",SUM(Input_Data!E109:H109))</f>
        <v/>
      </c>
      <c r="F109">
        <f>IF(E109="","",E109/4)</f>
        <v/>
      </c>
      <c r="G109" s="2">
        <f>IF(E109="","",IF(COUNTA($E$2:$E$300)&lt;=1,0,PERCENTRANK.INC($E$2:$E$300,E109)))</f>
        <v/>
      </c>
      <c r="H109" s="2">
        <f>IF(G109="","",1-G109)</f>
        <v/>
      </c>
      <c r="I109" s="2">
        <f>Input_Data!I109</f>
        <v/>
      </c>
      <c r="J109" s="2">
        <f>IF(I109="","",IF(COUNTA($I$2:$I$300)&lt;=1,0,PERCENTRANK.INC($I$2:$I$300,I109)))</f>
        <v/>
      </c>
      <c r="K109">
        <f>Input_Data!J109</f>
        <v/>
      </c>
      <c r="L109">
        <f>Input_Data!K109</f>
        <v/>
      </c>
      <c r="M109">
        <f>Input_Data!L109</f>
        <v/>
      </c>
      <c r="N109">
        <f>IF(K109="","",K109-L109)</f>
        <v/>
      </c>
      <c r="O109">
        <f>IF(A109="","",IF(ABS(M109-N109)&lt;=1,"OK","CHECK"))</f>
        <v/>
      </c>
      <c r="P109">
        <f>IF(M109="","",IF(F109=0,99,M109/F109))</f>
        <v/>
      </c>
      <c r="Q109" s="2">
        <f>IF(P109="","",IF(COUNTA($P$2:$P$300)&lt;=1,0,PERCENTRANK.INC($P$2:$P$300,P109)))</f>
        <v/>
      </c>
      <c r="R109" s="2">
        <f>IF(A109="","",0.45*H109+0.35*Q109+0.20*J109)</f>
        <v/>
      </c>
      <c r="S109">
        <f>IF(G109="","",IF(G109&lt;=0.33,"Low Movement",IF(G109&lt;=0.66,"Medium Movement","High Movement")))</f>
        <v/>
      </c>
      <c r="T109">
        <f>IF(R109="","",IF(R109&gt;=0.67,"High Value Bundle",IF(R109&gt;=0.34,"Medium Value Bundle","Low Value Bundle")))</f>
        <v/>
      </c>
      <c r="U109">
        <f>IF(A109="","",IF(AND(G109&gt;=0.70,J109&gt;=0.70,M109&gt;0),"Yes","No"))</f>
        <v/>
      </c>
      <c r="V109">
        <f>IF(A109="","",IF(AND(S109="Low Movement",M109&gt;0,P109&gt;=2),"Yes","No"))</f>
        <v/>
      </c>
      <c r="W109" s="2">
        <f>IF(T109="","",MIN(0.12,IF(T109="High Value Bundle",0.05,IF(T109="Medium Value Bundle",0.07,0.10))+IF(P109&gt;=8,0.02,0)))</f>
        <v/>
      </c>
      <c r="X109">
        <f>IF(U109="Yes",C109&amp;"|anchor","")</f>
        <v/>
      </c>
      <c r="Y109">
        <f>IF(U109="Yes",B109,"")</f>
        <v/>
      </c>
    </row>
    <row r="110">
      <c r="A110">
        <f>Input_Data!C110</f>
        <v/>
      </c>
      <c r="B110">
        <f>Input_Data!A110</f>
        <v/>
      </c>
      <c r="C110">
        <f>Input_Data!B110</f>
        <v/>
      </c>
      <c r="D110">
        <f>Input_Data!D110</f>
        <v/>
      </c>
      <c r="E110">
        <f>IF(A110="","",SUM(Input_Data!E110:H110))</f>
        <v/>
      </c>
      <c r="F110">
        <f>IF(E110="","",E110/4)</f>
        <v/>
      </c>
      <c r="G110" s="2">
        <f>IF(E110="","",IF(COUNTA($E$2:$E$300)&lt;=1,0,PERCENTRANK.INC($E$2:$E$300,E110)))</f>
        <v/>
      </c>
      <c r="H110" s="2">
        <f>IF(G110="","",1-G110)</f>
        <v/>
      </c>
      <c r="I110" s="2">
        <f>Input_Data!I110</f>
        <v/>
      </c>
      <c r="J110" s="2">
        <f>IF(I110="","",IF(COUNTA($I$2:$I$300)&lt;=1,0,PERCENTRANK.INC($I$2:$I$300,I110)))</f>
        <v/>
      </c>
      <c r="K110">
        <f>Input_Data!J110</f>
        <v/>
      </c>
      <c r="L110">
        <f>Input_Data!K110</f>
        <v/>
      </c>
      <c r="M110">
        <f>Input_Data!L110</f>
        <v/>
      </c>
      <c r="N110">
        <f>IF(K110="","",K110-L110)</f>
        <v/>
      </c>
      <c r="O110">
        <f>IF(A110="","",IF(ABS(M110-N110)&lt;=1,"OK","CHECK"))</f>
        <v/>
      </c>
      <c r="P110">
        <f>IF(M110="","",IF(F110=0,99,M110/F110))</f>
        <v/>
      </c>
      <c r="Q110" s="2">
        <f>IF(P110="","",IF(COUNTA($P$2:$P$300)&lt;=1,0,PERCENTRANK.INC($P$2:$P$300,P110)))</f>
        <v/>
      </c>
      <c r="R110" s="2">
        <f>IF(A110="","",0.45*H110+0.35*Q110+0.20*J110)</f>
        <v/>
      </c>
      <c r="S110">
        <f>IF(G110="","",IF(G110&lt;=0.33,"Low Movement",IF(G110&lt;=0.66,"Medium Movement","High Movement")))</f>
        <v/>
      </c>
      <c r="T110">
        <f>IF(R110="","",IF(R110&gt;=0.67,"High Value Bundle",IF(R110&gt;=0.34,"Medium Value Bundle","Low Value Bundle")))</f>
        <v/>
      </c>
      <c r="U110">
        <f>IF(A110="","",IF(AND(G110&gt;=0.70,J110&gt;=0.70,M110&gt;0),"Yes","No"))</f>
        <v/>
      </c>
      <c r="V110">
        <f>IF(A110="","",IF(AND(S110="Low Movement",M110&gt;0,P110&gt;=2),"Yes","No"))</f>
        <v/>
      </c>
      <c r="W110" s="2">
        <f>IF(T110="","",MIN(0.12,IF(T110="High Value Bundle",0.05,IF(T110="Medium Value Bundle",0.07,0.10))+IF(P110&gt;=8,0.02,0)))</f>
        <v/>
      </c>
      <c r="X110">
        <f>IF(U110="Yes",C110&amp;"|anchor","")</f>
        <v/>
      </c>
      <c r="Y110">
        <f>IF(U110="Yes",B110,"")</f>
        <v/>
      </c>
    </row>
    <row r="111">
      <c r="A111">
        <f>Input_Data!C111</f>
        <v/>
      </c>
      <c r="B111">
        <f>Input_Data!A111</f>
        <v/>
      </c>
      <c r="C111">
        <f>Input_Data!B111</f>
        <v/>
      </c>
      <c r="D111">
        <f>Input_Data!D111</f>
        <v/>
      </c>
      <c r="E111">
        <f>IF(A111="","",SUM(Input_Data!E111:H111))</f>
        <v/>
      </c>
      <c r="F111">
        <f>IF(E111="","",E111/4)</f>
        <v/>
      </c>
      <c r="G111" s="2">
        <f>IF(E111="","",IF(COUNTA($E$2:$E$300)&lt;=1,0,PERCENTRANK.INC($E$2:$E$300,E111)))</f>
        <v/>
      </c>
      <c r="H111" s="2">
        <f>IF(G111="","",1-G111)</f>
        <v/>
      </c>
      <c r="I111" s="2">
        <f>Input_Data!I111</f>
        <v/>
      </c>
      <c r="J111" s="2">
        <f>IF(I111="","",IF(COUNTA($I$2:$I$300)&lt;=1,0,PERCENTRANK.INC($I$2:$I$300,I111)))</f>
        <v/>
      </c>
      <c r="K111">
        <f>Input_Data!J111</f>
        <v/>
      </c>
      <c r="L111">
        <f>Input_Data!K111</f>
        <v/>
      </c>
      <c r="M111">
        <f>Input_Data!L111</f>
        <v/>
      </c>
      <c r="N111">
        <f>IF(K111="","",K111-L111)</f>
        <v/>
      </c>
      <c r="O111">
        <f>IF(A111="","",IF(ABS(M111-N111)&lt;=1,"OK","CHECK"))</f>
        <v/>
      </c>
      <c r="P111">
        <f>IF(M111="","",IF(F111=0,99,M111/F111))</f>
        <v/>
      </c>
      <c r="Q111" s="2">
        <f>IF(P111="","",IF(COUNTA($P$2:$P$300)&lt;=1,0,PERCENTRANK.INC($P$2:$P$300,P111)))</f>
        <v/>
      </c>
      <c r="R111" s="2">
        <f>IF(A111="","",0.45*H111+0.35*Q111+0.20*J111)</f>
        <v/>
      </c>
      <c r="S111">
        <f>IF(G111="","",IF(G111&lt;=0.33,"Low Movement",IF(G111&lt;=0.66,"Medium Movement","High Movement")))</f>
        <v/>
      </c>
      <c r="T111">
        <f>IF(R111="","",IF(R111&gt;=0.67,"High Value Bundle",IF(R111&gt;=0.34,"Medium Value Bundle","Low Value Bundle")))</f>
        <v/>
      </c>
      <c r="U111">
        <f>IF(A111="","",IF(AND(G111&gt;=0.70,J111&gt;=0.70,M111&gt;0),"Yes","No"))</f>
        <v/>
      </c>
      <c r="V111">
        <f>IF(A111="","",IF(AND(S111="Low Movement",M111&gt;0,P111&gt;=2),"Yes","No"))</f>
        <v/>
      </c>
      <c r="W111" s="2">
        <f>IF(T111="","",MIN(0.12,IF(T111="High Value Bundle",0.05,IF(T111="Medium Value Bundle",0.07,0.10))+IF(P111&gt;=8,0.02,0)))</f>
        <v/>
      </c>
      <c r="X111">
        <f>IF(U111="Yes",C111&amp;"|anchor","")</f>
        <v/>
      </c>
      <c r="Y111">
        <f>IF(U111="Yes",B111,"")</f>
        <v/>
      </c>
    </row>
    <row r="112">
      <c r="A112">
        <f>Input_Data!C112</f>
        <v/>
      </c>
      <c r="B112">
        <f>Input_Data!A112</f>
        <v/>
      </c>
      <c r="C112">
        <f>Input_Data!B112</f>
        <v/>
      </c>
      <c r="D112">
        <f>Input_Data!D112</f>
        <v/>
      </c>
      <c r="E112">
        <f>IF(A112="","",SUM(Input_Data!E112:H112))</f>
        <v/>
      </c>
      <c r="F112">
        <f>IF(E112="","",E112/4)</f>
        <v/>
      </c>
      <c r="G112" s="2">
        <f>IF(E112="","",IF(COUNTA($E$2:$E$300)&lt;=1,0,PERCENTRANK.INC($E$2:$E$300,E112)))</f>
        <v/>
      </c>
      <c r="H112" s="2">
        <f>IF(G112="","",1-G112)</f>
        <v/>
      </c>
      <c r="I112" s="2">
        <f>Input_Data!I112</f>
        <v/>
      </c>
      <c r="J112" s="2">
        <f>IF(I112="","",IF(COUNTA($I$2:$I$300)&lt;=1,0,PERCENTRANK.INC($I$2:$I$300,I112)))</f>
        <v/>
      </c>
      <c r="K112">
        <f>Input_Data!J112</f>
        <v/>
      </c>
      <c r="L112">
        <f>Input_Data!K112</f>
        <v/>
      </c>
      <c r="M112">
        <f>Input_Data!L112</f>
        <v/>
      </c>
      <c r="N112">
        <f>IF(K112="","",K112-L112)</f>
        <v/>
      </c>
      <c r="O112">
        <f>IF(A112="","",IF(ABS(M112-N112)&lt;=1,"OK","CHECK"))</f>
        <v/>
      </c>
      <c r="P112">
        <f>IF(M112="","",IF(F112=0,99,M112/F112))</f>
        <v/>
      </c>
      <c r="Q112" s="2">
        <f>IF(P112="","",IF(COUNTA($P$2:$P$300)&lt;=1,0,PERCENTRANK.INC($P$2:$P$300,P112)))</f>
        <v/>
      </c>
      <c r="R112" s="2">
        <f>IF(A112="","",0.45*H112+0.35*Q112+0.20*J112)</f>
        <v/>
      </c>
      <c r="S112">
        <f>IF(G112="","",IF(G112&lt;=0.33,"Low Movement",IF(G112&lt;=0.66,"Medium Movement","High Movement")))</f>
        <v/>
      </c>
      <c r="T112">
        <f>IF(R112="","",IF(R112&gt;=0.67,"High Value Bundle",IF(R112&gt;=0.34,"Medium Value Bundle","Low Value Bundle")))</f>
        <v/>
      </c>
      <c r="U112">
        <f>IF(A112="","",IF(AND(G112&gt;=0.70,J112&gt;=0.70,M112&gt;0),"Yes","No"))</f>
        <v/>
      </c>
      <c r="V112">
        <f>IF(A112="","",IF(AND(S112="Low Movement",M112&gt;0,P112&gt;=2),"Yes","No"))</f>
        <v/>
      </c>
      <c r="W112" s="2">
        <f>IF(T112="","",MIN(0.12,IF(T112="High Value Bundle",0.05,IF(T112="Medium Value Bundle",0.07,0.10))+IF(P112&gt;=8,0.02,0)))</f>
        <v/>
      </c>
      <c r="X112">
        <f>IF(U112="Yes",C112&amp;"|anchor","")</f>
        <v/>
      </c>
      <c r="Y112">
        <f>IF(U112="Yes",B112,"")</f>
        <v/>
      </c>
    </row>
    <row r="113">
      <c r="A113">
        <f>Input_Data!C113</f>
        <v/>
      </c>
      <c r="B113">
        <f>Input_Data!A113</f>
        <v/>
      </c>
      <c r="C113">
        <f>Input_Data!B113</f>
        <v/>
      </c>
      <c r="D113">
        <f>Input_Data!D113</f>
        <v/>
      </c>
      <c r="E113">
        <f>IF(A113="","",SUM(Input_Data!E113:H113))</f>
        <v/>
      </c>
      <c r="F113">
        <f>IF(E113="","",E113/4)</f>
        <v/>
      </c>
      <c r="G113" s="2">
        <f>IF(E113="","",IF(COUNTA($E$2:$E$300)&lt;=1,0,PERCENTRANK.INC($E$2:$E$300,E113)))</f>
        <v/>
      </c>
      <c r="H113" s="2">
        <f>IF(G113="","",1-G113)</f>
        <v/>
      </c>
      <c r="I113" s="2">
        <f>Input_Data!I113</f>
        <v/>
      </c>
      <c r="J113" s="2">
        <f>IF(I113="","",IF(COUNTA($I$2:$I$300)&lt;=1,0,PERCENTRANK.INC($I$2:$I$300,I113)))</f>
        <v/>
      </c>
      <c r="K113">
        <f>Input_Data!J113</f>
        <v/>
      </c>
      <c r="L113">
        <f>Input_Data!K113</f>
        <v/>
      </c>
      <c r="M113">
        <f>Input_Data!L113</f>
        <v/>
      </c>
      <c r="N113">
        <f>IF(K113="","",K113-L113)</f>
        <v/>
      </c>
      <c r="O113">
        <f>IF(A113="","",IF(ABS(M113-N113)&lt;=1,"OK","CHECK"))</f>
        <v/>
      </c>
      <c r="P113">
        <f>IF(M113="","",IF(F113=0,99,M113/F113))</f>
        <v/>
      </c>
      <c r="Q113" s="2">
        <f>IF(P113="","",IF(COUNTA($P$2:$P$300)&lt;=1,0,PERCENTRANK.INC($P$2:$P$300,P113)))</f>
        <v/>
      </c>
      <c r="R113" s="2">
        <f>IF(A113="","",0.45*H113+0.35*Q113+0.20*J113)</f>
        <v/>
      </c>
      <c r="S113">
        <f>IF(G113="","",IF(G113&lt;=0.33,"Low Movement",IF(G113&lt;=0.66,"Medium Movement","High Movement")))</f>
        <v/>
      </c>
      <c r="T113">
        <f>IF(R113="","",IF(R113&gt;=0.67,"High Value Bundle",IF(R113&gt;=0.34,"Medium Value Bundle","Low Value Bundle")))</f>
        <v/>
      </c>
      <c r="U113">
        <f>IF(A113="","",IF(AND(G113&gt;=0.70,J113&gt;=0.70,M113&gt;0),"Yes","No"))</f>
        <v/>
      </c>
      <c r="V113">
        <f>IF(A113="","",IF(AND(S113="Low Movement",M113&gt;0,P113&gt;=2),"Yes","No"))</f>
        <v/>
      </c>
      <c r="W113" s="2">
        <f>IF(T113="","",MIN(0.12,IF(T113="High Value Bundle",0.05,IF(T113="Medium Value Bundle",0.07,0.10))+IF(P113&gt;=8,0.02,0)))</f>
        <v/>
      </c>
      <c r="X113">
        <f>IF(U113="Yes",C113&amp;"|anchor","")</f>
        <v/>
      </c>
      <c r="Y113">
        <f>IF(U113="Yes",B113,"")</f>
        <v/>
      </c>
    </row>
    <row r="114">
      <c r="A114">
        <f>Input_Data!C114</f>
        <v/>
      </c>
      <c r="B114">
        <f>Input_Data!A114</f>
        <v/>
      </c>
      <c r="C114">
        <f>Input_Data!B114</f>
        <v/>
      </c>
      <c r="D114">
        <f>Input_Data!D114</f>
        <v/>
      </c>
      <c r="E114">
        <f>IF(A114="","",SUM(Input_Data!E114:H114))</f>
        <v/>
      </c>
      <c r="F114">
        <f>IF(E114="","",E114/4)</f>
        <v/>
      </c>
      <c r="G114" s="2">
        <f>IF(E114="","",IF(COUNTA($E$2:$E$300)&lt;=1,0,PERCENTRANK.INC($E$2:$E$300,E114)))</f>
        <v/>
      </c>
      <c r="H114" s="2">
        <f>IF(G114="","",1-G114)</f>
        <v/>
      </c>
      <c r="I114" s="2">
        <f>Input_Data!I114</f>
        <v/>
      </c>
      <c r="J114" s="2">
        <f>IF(I114="","",IF(COUNTA($I$2:$I$300)&lt;=1,0,PERCENTRANK.INC($I$2:$I$300,I114)))</f>
        <v/>
      </c>
      <c r="K114">
        <f>Input_Data!J114</f>
        <v/>
      </c>
      <c r="L114">
        <f>Input_Data!K114</f>
        <v/>
      </c>
      <c r="M114">
        <f>Input_Data!L114</f>
        <v/>
      </c>
      <c r="N114">
        <f>IF(K114="","",K114-L114)</f>
        <v/>
      </c>
      <c r="O114">
        <f>IF(A114="","",IF(ABS(M114-N114)&lt;=1,"OK","CHECK"))</f>
        <v/>
      </c>
      <c r="P114">
        <f>IF(M114="","",IF(F114=0,99,M114/F114))</f>
        <v/>
      </c>
      <c r="Q114" s="2">
        <f>IF(P114="","",IF(COUNTA($P$2:$P$300)&lt;=1,0,PERCENTRANK.INC($P$2:$P$300,P114)))</f>
        <v/>
      </c>
      <c r="R114" s="2">
        <f>IF(A114="","",0.45*H114+0.35*Q114+0.20*J114)</f>
        <v/>
      </c>
      <c r="S114">
        <f>IF(G114="","",IF(G114&lt;=0.33,"Low Movement",IF(G114&lt;=0.66,"Medium Movement","High Movement")))</f>
        <v/>
      </c>
      <c r="T114">
        <f>IF(R114="","",IF(R114&gt;=0.67,"High Value Bundle",IF(R114&gt;=0.34,"Medium Value Bundle","Low Value Bundle")))</f>
        <v/>
      </c>
      <c r="U114">
        <f>IF(A114="","",IF(AND(G114&gt;=0.70,J114&gt;=0.70,M114&gt;0),"Yes","No"))</f>
        <v/>
      </c>
      <c r="V114">
        <f>IF(A114="","",IF(AND(S114="Low Movement",M114&gt;0,P114&gt;=2),"Yes","No"))</f>
        <v/>
      </c>
      <c r="W114" s="2">
        <f>IF(T114="","",MIN(0.12,IF(T114="High Value Bundle",0.05,IF(T114="Medium Value Bundle",0.07,0.10))+IF(P114&gt;=8,0.02,0)))</f>
        <v/>
      </c>
      <c r="X114">
        <f>IF(U114="Yes",C114&amp;"|anchor","")</f>
        <v/>
      </c>
      <c r="Y114">
        <f>IF(U114="Yes",B114,"")</f>
        <v/>
      </c>
    </row>
    <row r="115">
      <c r="A115">
        <f>Input_Data!C115</f>
        <v/>
      </c>
      <c r="B115">
        <f>Input_Data!A115</f>
        <v/>
      </c>
      <c r="C115">
        <f>Input_Data!B115</f>
        <v/>
      </c>
      <c r="D115">
        <f>Input_Data!D115</f>
        <v/>
      </c>
      <c r="E115">
        <f>IF(A115="","",SUM(Input_Data!E115:H115))</f>
        <v/>
      </c>
      <c r="F115">
        <f>IF(E115="","",E115/4)</f>
        <v/>
      </c>
      <c r="G115" s="2">
        <f>IF(E115="","",IF(COUNTA($E$2:$E$300)&lt;=1,0,PERCENTRANK.INC($E$2:$E$300,E115)))</f>
        <v/>
      </c>
      <c r="H115" s="2">
        <f>IF(G115="","",1-G115)</f>
        <v/>
      </c>
      <c r="I115" s="2">
        <f>Input_Data!I115</f>
        <v/>
      </c>
      <c r="J115" s="2">
        <f>IF(I115="","",IF(COUNTA($I$2:$I$300)&lt;=1,0,PERCENTRANK.INC($I$2:$I$300,I115)))</f>
        <v/>
      </c>
      <c r="K115">
        <f>Input_Data!J115</f>
        <v/>
      </c>
      <c r="L115">
        <f>Input_Data!K115</f>
        <v/>
      </c>
      <c r="M115">
        <f>Input_Data!L115</f>
        <v/>
      </c>
      <c r="N115">
        <f>IF(K115="","",K115-L115)</f>
        <v/>
      </c>
      <c r="O115">
        <f>IF(A115="","",IF(ABS(M115-N115)&lt;=1,"OK","CHECK"))</f>
        <v/>
      </c>
      <c r="P115">
        <f>IF(M115="","",IF(F115=0,99,M115/F115))</f>
        <v/>
      </c>
      <c r="Q115" s="2">
        <f>IF(P115="","",IF(COUNTA($P$2:$P$300)&lt;=1,0,PERCENTRANK.INC($P$2:$P$300,P115)))</f>
        <v/>
      </c>
      <c r="R115" s="2">
        <f>IF(A115="","",0.45*H115+0.35*Q115+0.20*J115)</f>
        <v/>
      </c>
      <c r="S115">
        <f>IF(G115="","",IF(G115&lt;=0.33,"Low Movement",IF(G115&lt;=0.66,"Medium Movement","High Movement")))</f>
        <v/>
      </c>
      <c r="T115">
        <f>IF(R115="","",IF(R115&gt;=0.67,"High Value Bundle",IF(R115&gt;=0.34,"Medium Value Bundle","Low Value Bundle")))</f>
        <v/>
      </c>
      <c r="U115">
        <f>IF(A115="","",IF(AND(G115&gt;=0.70,J115&gt;=0.70,M115&gt;0),"Yes","No"))</f>
        <v/>
      </c>
      <c r="V115">
        <f>IF(A115="","",IF(AND(S115="Low Movement",M115&gt;0,P115&gt;=2),"Yes","No"))</f>
        <v/>
      </c>
      <c r="W115" s="2">
        <f>IF(T115="","",MIN(0.12,IF(T115="High Value Bundle",0.05,IF(T115="Medium Value Bundle",0.07,0.10))+IF(P115&gt;=8,0.02,0)))</f>
        <v/>
      </c>
      <c r="X115">
        <f>IF(U115="Yes",C115&amp;"|anchor","")</f>
        <v/>
      </c>
      <c r="Y115">
        <f>IF(U115="Yes",B115,"")</f>
        <v/>
      </c>
    </row>
    <row r="116">
      <c r="A116">
        <f>Input_Data!C116</f>
        <v/>
      </c>
      <c r="B116">
        <f>Input_Data!A116</f>
        <v/>
      </c>
      <c r="C116">
        <f>Input_Data!B116</f>
        <v/>
      </c>
      <c r="D116">
        <f>Input_Data!D116</f>
        <v/>
      </c>
      <c r="E116">
        <f>IF(A116="","",SUM(Input_Data!E116:H116))</f>
        <v/>
      </c>
      <c r="F116">
        <f>IF(E116="","",E116/4)</f>
        <v/>
      </c>
      <c r="G116" s="2">
        <f>IF(E116="","",IF(COUNTA($E$2:$E$300)&lt;=1,0,PERCENTRANK.INC($E$2:$E$300,E116)))</f>
        <v/>
      </c>
      <c r="H116" s="2">
        <f>IF(G116="","",1-G116)</f>
        <v/>
      </c>
      <c r="I116" s="2">
        <f>Input_Data!I116</f>
        <v/>
      </c>
      <c r="J116" s="2">
        <f>IF(I116="","",IF(COUNTA($I$2:$I$300)&lt;=1,0,PERCENTRANK.INC($I$2:$I$300,I116)))</f>
        <v/>
      </c>
      <c r="K116">
        <f>Input_Data!J116</f>
        <v/>
      </c>
      <c r="L116">
        <f>Input_Data!K116</f>
        <v/>
      </c>
      <c r="M116">
        <f>Input_Data!L116</f>
        <v/>
      </c>
      <c r="N116">
        <f>IF(K116="","",K116-L116)</f>
        <v/>
      </c>
      <c r="O116">
        <f>IF(A116="","",IF(ABS(M116-N116)&lt;=1,"OK","CHECK"))</f>
        <v/>
      </c>
      <c r="P116">
        <f>IF(M116="","",IF(F116=0,99,M116/F116))</f>
        <v/>
      </c>
      <c r="Q116" s="2">
        <f>IF(P116="","",IF(COUNTA($P$2:$P$300)&lt;=1,0,PERCENTRANK.INC($P$2:$P$300,P116)))</f>
        <v/>
      </c>
      <c r="R116" s="2">
        <f>IF(A116="","",0.45*H116+0.35*Q116+0.20*J116)</f>
        <v/>
      </c>
      <c r="S116">
        <f>IF(G116="","",IF(G116&lt;=0.33,"Low Movement",IF(G116&lt;=0.66,"Medium Movement","High Movement")))</f>
        <v/>
      </c>
      <c r="T116">
        <f>IF(R116="","",IF(R116&gt;=0.67,"High Value Bundle",IF(R116&gt;=0.34,"Medium Value Bundle","Low Value Bundle")))</f>
        <v/>
      </c>
      <c r="U116">
        <f>IF(A116="","",IF(AND(G116&gt;=0.70,J116&gt;=0.70,M116&gt;0),"Yes","No"))</f>
        <v/>
      </c>
      <c r="V116">
        <f>IF(A116="","",IF(AND(S116="Low Movement",M116&gt;0,P116&gt;=2),"Yes","No"))</f>
        <v/>
      </c>
      <c r="W116" s="2">
        <f>IF(T116="","",MIN(0.12,IF(T116="High Value Bundle",0.05,IF(T116="Medium Value Bundle",0.07,0.10))+IF(P116&gt;=8,0.02,0)))</f>
        <v/>
      </c>
      <c r="X116">
        <f>IF(U116="Yes",C116&amp;"|anchor","")</f>
        <v/>
      </c>
      <c r="Y116">
        <f>IF(U116="Yes",B116,"")</f>
        <v/>
      </c>
    </row>
    <row r="117">
      <c r="A117">
        <f>Input_Data!C117</f>
        <v/>
      </c>
      <c r="B117">
        <f>Input_Data!A117</f>
        <v/>
      </c>
      <c r="C117">
        <f>Input_Data!B117</f>
        <v/>
      </c>
      <c r="D117">
        <f>Input_Data!D117</f>
        <v/>
      </c>
      <c r="E117">
        <f>IF(A117="","",SUM(Input_Data!E117:H117))</f>
        <v/>
      </c>
      <c r="F117">
        <f>IF(E117="","",E117/4)</f>
        <v/>
      </c>
      <c r="G117" s="2">
        <f>IF(E117="","",IF(COUNTA($E$2:$E$300)&lt;=1,0,PERCENTRANK.INC($E$2:$E$300,E117)))</f>
        <v/>
      </c>
      <c r="H117" s="2">
        <f>IF(G117="","",1-G117)</f>
        <v/>
      </c>
      <c r="I117" s="2">
        <f>Input_Data!I117</f>
        <v/>
      </c>
      <c r="J117" s="2">
        <f>IF(I117="","",IF(COUNTA($I$2:$I$300)&lt;=1,0,PERCENTRANK.INC($I$2:$I$300,I117)))</f>
        <v/>
      </c>
      <c r="K117">
        <f>Input_Data!J117</f>
        <v/>
      </c>
      <c r="L117">
        <f>Input_Data!K117</f>
        <v/>
      </c>
      <c r="M117">
        <f>Input_Data!L117</f>
        <v/>
      </c>
      <c r="N117">
        <f>IF(K117="","",K117-L117)</f>
        <v/>
      </c>
      <c r="O117">
        <f>IF(A117="","",IF(ABS(M117-N117)&lt;=1,"OK","CHECK"))</f>
        <v/>
      </c>
      <c r="P117">
        <f>IF(M117="","",IF(F117=0,99,M117/F117))</f>
        <v/>
      </c>
      <c r="Q117" s="2">
        <f>IF(P117="","",IF(COUNTA($P$2:$P$300)&lt;=1,0,PERCENTRANK.INC($P$2:$P$300,P117)))</f>
        <v/>
      </c>
      <c r="R117" s="2">
        <f>IF(A117="","",0.45*H117+0.35*Q117+0.20*J117)</f>
        <v/>
      </c>
      <c r="S117">
        <f>IF(G117="","",IF(G117&lt;=0.33,"Low Movement",IF(G117&lt;=0.66,"Medium Movement","High Movement")))</f>
        <v/>
      </c>
      <c r="T117">
        <f>IF(R117="","",IF(R117&gt;=0.67,"High Value Bundle",IF(R117&gt;=0.34,"Medium Value Bundle","Low Value Bundle")))</f>
        <v/>
      </c>
      <c r="U117">
        <f>IF(A117="","",IF(AND(G117&gt;=0.70,J117&gt;=0.70,M117&gt;0),"Yes","No"))</f>
        <v/>
      </c>
      <c r="V117">
        <f>IF(A117="","",IF(AND(S117="Low Movement",M117&gt;0,P117&gt;=2),"Yes","No"))</f>
        <v/>
      </c>
      <c r="W117" s="2">
        <f>IF(T117="","",MIN(0.12,IF(T117="High Value Bundle",0.05,IF(T117="Medium Value Bundle",0.07,0.10))+IF(P117&gt;=8,0.02,0)))</f>
        <v/>
      </c>
      <c r="X117">
        <f>IF(U117="Yes",C117&amp;"|anchor","")</f>
        <v/>
      </c>
      <c r="Y117">
        <f>IF(U117="Yes",B117,"")</f>
        <v/>
      </c>
    </row>
    <row r="118">
      <c r="A118">
        <f>Input_Data!C118</f>
        <v/>
      </c>
      <c r="B118">
        <f>Input_Data!A118</f>
        <v/>
      </c>
      <c r="C118">
        <f>Input_Data!B118</f>
        <v/>
      </c>
      <c r="D118">
        <f>Input_Data!D118</f>
        <v/>
      </c>
      <c r="E118">
        <f>IF(A118="","",SUM(Input_Data!E118:H118))</f>
        <v/>
      </c>
      <c r="F118">
        <f>IF(E118="","",E118/4)</f>
        <v/>
      </c>
      <c r="G118" s="2">
        <f>IF(E118="","",IF(COUNTA($E$2:$E$300)&lt;=1,0,PERCENTRANK.INC($E$2:$E$300,E118)))</f>
        <v/>
      </c>
      <c r="H118" s="2">
        <f>IF(G118="","",1-G118)</f>
        <v/>
      </c>
      <c r="I118" s="2">
        <f>Input_Data!I118</f>
        <v/>
      </c>
      <c r="J118" s="2">
        <f>IF(I118="","",IF(COUNTA($I$2:$I$300)&lt;=1,0,PERCENTRANK.INC($I$2:$I$300,I118)))</f>
        <v/>
      </c>
      <c r="K118">
        <f>Input_Data!J118</f>
        <v/>
      </c>
      <c r="L118">
        <f>Input_Data!K118</f>
        <v/>
      </c>
      <c r="M118">
        <f>Input_Data!L118</f>
        <v/>
      </c>
      <c r="N118">
        <f>IF(K118="","",K118-L118)</f>
        <v/>
      </c>
      <c r="O118">
        <f>IF(A118="","",IF(ABS(M118-N118)&lt;=1,"OK","CHECK"))</f>
        <v/>
      </c>
      <c r="P118">
        <f>IF(M118="","",IF(F118=0,99,M118/F118))</f>
        <v/>
      </c>
      <c r="Q118" s="2">
        <f>IF(P118="","",IF(COUNTA($P$2:$P$300)&lt;=1,0,PERCENTRANK.INC($P$2:$P$300,P118)))</f>
        <v/>
      </c>
      <c r="R118" s="2">
        <f>IF(A118="","",0.45*H118+0.35*Q118+0.20*J118)</f>
        <v/>
      </c>
      <c r="S118">
        <f>IF(G118="","",IF(G118&lt;=0.33,"Low Movement",IF(G118&lt;=0.66,"Medium Movement","High Movement")))</f>
        <v/>
      </c>
      <c r="T118">
        <f>IF(R118="","",IF(R118&gt;=0.67,"High Value Bundle",IF(R118&gt;=0.34,"Medium Value Bundle","Low Value Bundle")))</f>
        <v/>
      </c>
      <c r="U118">
        <f>IF(A118="","",IF(AND(G118&gt;=0.70,J118&gt;=0.70,M118&gt;0),"Yes","No"))</f>
        <v/>
      </c>
      <c r="V118">
        <f>IF(A118="","",IF(AND(S118="Low Movement",M118&gt;0,P118&gt;=2),"Yes","No"))</f>
        <v/>
      </c>
      <c r="W118" s="2">
        <f>IF(T118="","",MIN(0.12,IF(T118="High Value Bundle",0.05,IF(T118="Medium Value Bundle",0.07,0.10))+IF(P118&gt;=8,0.02,0)))</f>
        <v/>
      </c>
      <c r="X118">
        <f>IF(U118="Yes",C118&amp;"|anchor","")</f>
        <v/>
      </c>
      <c r="Y118">
        <f>IF(U118="Yes",B118,"")</f>
        <v/>
      </c>
    </row>
    <row r="119">
      <c r="A119">
        <f>Input_Data!C119</f>
        <v/>
      </c>
      <c r="B119">
        <f>Input_Data!A119</f>
        <v/>
      </c>
      <c r="C119">
        <f>Input_Data!B119</f>
        <v/>
      </c>
      <c r="D119">
        <f>Input_Data!D119</f>
        <v/>
      </c>
      <c r="E119">
        <f>IF(A119="","",SUM(Input_Data!E119:H119))</f>
        <v/>
      </c>
      <c r="F119">
        <f>IF(E119="","",E119/4)</f>
        <v/>
      </c>
      <c r="G119" s="2">
        <f>IF(E119="","",IF(COUNTA($E$2:$E$300)&lt;=1,0,PERCENTRANK.INC($E$2:$E$300,E119)))</f>
        <v/>
      </c>
      <c r="H119" s="2">
        <f>IF(G119="","",1-G119)</f>
        <v/>
      </c>
      <c r="I119" s="2">
        <f>Input_Data!I119</f>
        <v/>
      </c>
      <c r="J119" s="2">
        <f>IF(I119="","",IF(COUNTA($I$2:$I$300)&lt;=1,0,PERCENTRANK.INC($I$2:$I$300,I119)))</f>
        <v/>
      </c>
      <c r="K119">
        <f>Input_Data!J119</f>
        <v/>
      </c>
      <c r="L119">
        <f>Input_Data!K119</f>
        <v/>
      </c>
      <c r="M119">
        <f>Input_Data!L119</f>
        <v/>
      </c>
      <c r="N119">
        <f>IF(K119="","",K119-L119)</f>
        <v/>
      </c>
      <c r="O119">
        <f>IF(A119="","",IF(ABS(M119-N119)&lt;=1,"OK","CHECK"))</f>
        <v/>
      </c>
      <c r="P119">
        <f>IF(M119="","",IF(F119=0,99,M119/F119))</f>
        <v/>
      </c>
      <c r="Q119" s="2">
        <f>IF(P119="","",IF(COUNTA($P$2:$P$300)&lt;=1,0,PERCENTRANK.INC($P$2:$P$300,P119)))</f>
        <v/>
      </c>
      <c r="R119" s="2">
        <f>IF(A119="","",0.45*H119+0.35*Q119+0.20*J119)</f>
        <v/>
      </c>
      <c r="S119">
        <f>IF(G119="","",IF(G119&lt;=0.33,"Low Movement",IF(G119&lt;=0.66,"Medium Movement","High Movement")))</f>
        <v/>
      </c>
      <c r="T119">
        <f>IF(R119="","",IF(R119&gt;=0.67,"High Value Bundle",IF(R119&gt;=0.34,"Medium Value Bundle","Low Value Bundle")))</f>
        <v/>
      </c>
      <c r="U119">
        <f>IF(A119="","",IF(AND(G119&gt;=0.70,J119&gt;=0.70,M119&gt;0),"Yes","No"))</f>
        <v/>
      </c>
      <c r="V119">
        <f>IF(A119="","",IF(AND(S119="Low Movement",M119&gt;0,P119&gt;=2),"Yes","No"))</f>
        <v/>
      </c>
      <c r="W119" s="2">
        <f>IF(T119="","",MIN(0.12,IF(T119="High Value Bundle",0.05,IF(T119="Medium Value Bundle",0.07,0.10))+IF(P119&gt;=8,0.02,0)))</f>
        <v/>
      </c>
      <c r="X119">
        <f>IF(U119="Yes",C119&amp;"|anchor","")</f>
        <v/>
      </c>
      <c r="Y119">
        <f>IF(U119="Yes",B119,"")</f>
        <v/>
      </c>
    </row>
    <row r="120">
      <c r="A120">
        <f>Input_Data!C120</f>
        <v/>
      </c>
      <c r="B120">
        <f>Input_Data!A120</f>
        <v/>
      </c>
      <c r="C120">
        <f>Input_Data!B120</f>
        <v/>
      </c>
      <c r="D120">
        <f>Input_Data!D120</f>
        <v/>
      </c>
      <c r="E120">
        <f>IF(A120="","",SUM(Input_Data!E120:H120))</f>
        <v/>
      </c>
      <c r="F120">
        <f>IF(E120="","",E120/4)</f>
        <v/>
      </c>
      <c r="G120" s="2">
        <f>IF(E120="","",IF(COUNTA($E$2:$E$300)&lt;=1,0,PERCENTRANK.INC($E$2:$E$300,E120)))</f>
        <v/>
      </c>
      <c r="H120" s="2">
        <f>IF(G120="","",1-G120)</f>
        <v/>
      </c>
      <c r="I120" s="2">
        <f>Input_Data!I120</f>
        <v/>
      </c>
      <c r="J120" s="2">
        <f>IF(I120="","",IF(COUNTA($I$2:$I$300)&lt;=1,0,PERCENTRANK.INC($I$2:$I$300,I120)))</f>
        <v/>
      </c>
      <c r="K120">
        <f>Input_Data!J120</f>
        <v/>
      </c>
      <c r="L120">
        <f>Input_Data!K120</f>
        <v/>
      </c>
      <c r="M120">
        <f>Input_Data!L120</f>
        <v/>
      </c>
      <c r="N120">
        <f>IF(K120="","",K120-L120)</f>
        <v/>
      </c>
      <c r="O120">
        <f>IF(A120="","",IF(ABS(M120-N120)&lt;=1,"OK","CHECK"))</f>
        <v/>
      </c>
      <c r="P120">
        <f>IF(M120="","",IF(F120=0,99,M120/F120))</f>
        <v/>
      </c>
      <c r="Q120" s="2">
        <f>IF(P120="","",IF(COUNTA($P$2:$P$300)&lt;=1,0,PERCENTRANK.INC($P$2:$P$300,P120)))</f>
        <v/>
      </c>
      <c r="R120" s="2">
        <f>IF(A120="","",0.45*H120+0.35*Q120+0.20*J120)</f>
        <v/>
      </c>
      <c r="S120">
        <f>IF(G120="","",IF(G120&lt;=0.33,"Low Movement",IF(G120&lt;=0.66,"Medium Movement","High Movement")))</f>
        <v/>
      </c>
      <c r="T120">
        <f>IF(R120="","",IF(R120&gt;=0.67,"High Value Bundle",IF(R120&gt;=0.34,"Medium Value Bundle","Low Value Bundle")))</f>
        <v/>
      </c>
      <c r="U120">
        <f>IF(A120="","",IF(AND(G120&gt;=0.70,J120&gt;=0.70,M120&gt;0),"Yes","No"))</f>
        <v/>
      </c>
      <c r="V120">
        <f>IF(A120="","",IF(AND(S120="Low Movement",M120&gt;0,P120&gt;=2),"Yes","No"))</f>
        <v/>
      </c>
      <c r="W120" s="2">
        <f>IF(T120="","",MIN(0.12,IF(T120="High Value Bundle",0.05,IF(T120="Medium Value Bundle",0.07,0.10))+IF(P120&gt;=8,0.02,0)))</f>
        <v/>
      </c>
      <c r="X120">
        <f>IF(U120="Yes",C120&amp;"|anchor","")</f>
        <v/>
      </c>
      <c r="Y120">
        <f>IF(U120="Yes",B120,"")</f>
        <v/>
      </c>
    </row>
    <row r="121">
      <c r="A121">
        <f>Input_Data!C121</f>
        <v/>
      </c>
      <c r="B121">
        <f>Input_Data!A121</f>
        <v/>
      </c>
      <c r="C121">
        <f>Input_Data!B121</f>
        <v/>
      </c>
      <c r="D121">
        <f>Input_Data!D121</f>
        <v/>
      </c>
      <c r="E121">
        <f>IF(A121="","",SUM(Input_Data!E121:H121))</f>
        <v/>
      </c>
      <c r="F121">
        <f>IF(E121="","",E121/4)</f>
        <v/>
      </c>
      <c r="G121" s="2">
        <f>IF(E121="","",IF(COUNTA($E$2:$E$300)&lt;=1,0,PERCENTRANK.INC($E$2:$E$300,E121)))</f>
        <v/>
      </c>
      <c r="H121" s="2">
        <f>IF(G121="","",1-G121)</f>
        <v/>
      </c>
      <c r="I121" s="2">
        <f>Input_Data!I121</f>
        <v/>
      </c>
      <c r="J121" s="2">
        <f>IF(I121="","",IF(COUNTA($I$2:$I$300)&lt;=1,0,PERCENTRANK.INC($I$2:$I$300,I121)))</f>
        <v/>
      </c>
      <c r="K121">
        <f>Input_Data!J121</f>
        <v/>
      </c>
      <c r="L121">
        <f>Input_Data!K121</f>
        <v/>
      </c>
      <c r="M121">
        <f>Input_Data!L121</f>
        <v/>
      </c>
      <c r="N121">
        <f>IF(K121="","",K121-L121)</f>
        <v/>
      </c>
      <c r="O121">
        <f>IF(A121="","",IF(ABS(M121-N121)&lt;=1,"OK","CHECK"))</f>
        <v/>
      </c>
      <c r="P121">
        <f>IF(M121="","",IF(F121=0,99,M121/F121))</f>
        <v/>
      </c>
      <c r="Q121" s="2">
        <f>IF(P121="","",IF(COUNTA($P$2:$P$300)&lt;=1,0,PERCENTRANK.INC($P$2:$P$300,P121)))</f>
        <v/>
      </c>
      <c r="R121" s="2">
        <f>IF(A121="","",0.45*H121+0.35*Q121+0.20*J121)</f>
        <v/>
      </c>
      <c r="S121">
        <f>IF(G121="","",IF(G121&lt;=0.33,"Low Movement",IF(G121&lt;=0.66,"Medium Movement","High Movement")))</f>
        <v/>
      </c>
      <c r="T121">
        <f>IF(R121="","",IF(R121&gt;=0.67,"High Value Bundle",IF(R121&gt;=0.34,"Medium Value Bundle","Low Value Bundle")))</f>
        <v/>
      </c>
      <c r="U121">
        <f>IF(A121="","",IF(AND(G121&gt;=0.70,J121&gt;=0.70,M121&gt;0),"Yes","No"))</f>
        <v/>
      </c>
      <c r="V121">
        <f>IF(A121="","",IF(AND(S121="Low Movement",M121&gt;0,P121&gt;=2),"Yes","No"))</f>
        <v/>
      </c>
      <c r="W121" s="2">
        <f>IF(T121="","",MIN(0.12,IF(T121="High Value Bundle",0.05,IF(T121="Medium Value Bundle",0.07,0.10))+IF(P121&gt;=8,0.02,0)))</f>
        <v/>
      </c>
      <c r="X121">
        <f>IF(U121="Yes",C121&amp;"|anchor","")</f>
        <v/>
      </c>
      <c r="Y121">
        <f>IF(U121="Yes",B121,"")</f>
        <v/>
      </c>
    </row>
    <row r="122">
      <c r="A122">
        <f>Input_Data!C122</f>
        <v/>
      </c>
      <c r="B122">
        <f>Input_Data!A122</f>
        <v/>
      </c>
      <c r="C122">
        <f>Input_Data!B122</f>
        <v/>
      </c>
      <c r="D122">
        <f>Input_Data!D122</f>
        <v/>
      </c>
      <c r="E122">
        <f>IF(A122="","",SUM(Input_Data!E122:H122))</f>
        <v/>
      </c>
      <c r="F122">
        <f>IF(E122="","",E122/4)</f>
        <v/>
      </c>
      <c r="G122" s="2">
        <f>IF(E122="","",IF(COUNTA($E$2:$E$300)&lt;=1,0,PERCENTRANK.INC($E$2:$E$300,E122)))</f>
        <v/>
      </c>
      <c r="H122" s="2">
        <f>IF(G122="","",1-G122)</f>
        <v/>
      </c>
      <c r="I122" s="2">
        <f>Input_Data!I122</f>
        <v/>
      </c>
      <c r="J122" s="2">
        <f>IF(I122="","",IF(COUNTA($I$2:$I$300)&lt;=1,0,PERCENTRANK.INC($I$2:$I$300,I122)))</f>
        <v/>
      </c>
      <c r="K122">
        <f>Input_Data!J122</f>
        <v/>
      </c>
      <c r="L122">
        <f>Input_Data!K122</f>
        <v/>
      </c>
      <c r="M122">
        <f>Input_Data!L122</f>
        <v/>
      </c>
      <c r="N122">
        <f>IF(K122="","",K122-L122)</f>
        <v/>
      </c>
      <c r="O122">
        <f>IF(A122="","",IF(ABS(M122-N122)&lt;=1,"OK","CHECK"))</f>
        <v/>
      </c>
      <c r="P122">
        <f>IF(M122="","",IF(F122=0,99,M122/F122))</f>
        <v/>
      </c>
      <c r="Q122" s="2">
        <f>IF(P122="","",IF(COUNTA($P$2:$P$300)&lt;=1,0,PERCENTRANK.INC($P$2:$P$300,P122)))</f>
        <v/>
      </c>
      <c r="R122" s="2">
        <f>IF(A122="","",0.45*H122+0.35*Q122+0.20*J122)</f>
        <v/>
      </c>
      <c r="S122">
        <f>IF(G122="","",IF(G122&lt;=0.33,"Low Movement",IF(G122&lt;=0.66,"Medium Movement","High Movement")))</f>
        <v/>
      </c>
      <c r="T122">
        <f>IF(R122="","",IF(R122&gt;=0.67,"High Value Bundle",IF(R122&gt;=0.34,"Medium Value Bundle","Low Value Bundle")))</f>
        <v/>
      </c>
      <c r="U122">
        <f>IF(A122="","",IF(AND(G122&gt;=0.70,J122&gt;=0.70,M122&gt;0),"Yes","No"))</f>
        <v/>
      </c>
      <c r="V122">
        <f>IF(A122="","",IF(AND(S122="Low Movement",M122&gt;0,P122&gt;=2),"Yes","No"))</f>
        <v/>
      </c>
      <c r="W122" s="2">
        <f>IF(T122="","",MIN(0.12,IF(T122="High Value Bundle",0.05,IF(T122="Medium Value Bundle",0.07,0.10))+IF(P122&gt;=8,0.02,0)))</f>
        <v/>
      </c>
      <c r="X122">
        <f>IF(U122="Yes",C122&amp;"|anchor","")</f>
        <v/>
      </c>
      <c r="Y122">
        <f>IF(U122="Yes",B122,"")</f>
        <v/>
      </c>
    </row>
    <row r="123">
      <c r="A123">
        <f>Input_Data!C123</f>
        <v/>
      </c>
      <c r="B123">
        <f>Input_Data!A123</f>
        <v/>
      </c>
      <c r="C123">
        <f>Input_Data!B123</f>
        <v/>
      </c>
      <c r="D123">
        <f>Input_Data!D123</f>
        <v/>
      </c>
      <c r="E123">
        <f>IF(A123="","",SUM(Input_Data!E123:H123))</f>
        <v/>
      </c>
      <c r="F123">
        <f>IF(E123="","",E123/4)</f>
        <v/>
      </c>
      <c r="G123" s="2">
        <f>IF(E123="","",IF(COUNTA($E$2:$E$300)&lt;=1,0,PERCENTRANK.INC($E$2:$E$300,E123)))</f>
        <v/>
      </c>
      <c r="H123" s="2">
        <f>IF(G123="","",1-G123)</f>
        <v/>
      </c>
      <c r="I123" s="2">
        <f>Input_Data!I123</f>
        <v/>
      </c>
      <c r="J123" s="2">
        <f>IF(I123="","",IF(COUNTA($I$2:$I$300)&lt;=1,0,PERCENTRANK.INC($I$2:$I$300,I123)))</f>
        <v/>
      </c>
      <c r="K123">
        <f>Input_Data!J123</f>
        <v/>
      </c>
      <c r="L123">
        <f>Input_Data!K123</f>
        <v/>
      </c>
      <c r="M123">
        <f>Input_Data!L123</f>
        <v/>
      </c>
      <c r="N123">
        <f>IF(K123="","",K123-L123)</f>
        <v/>
      </c>
      <c r="O123">
        <f>IF(A123="","",IF(ABS(M123-N123)&lt;=1,"OK","CHECK"))</f>
        <v/>
      </c>
      <c r="P123">
        <f>IF(M123="","",IF(F123=0,99,M123/F123))</f>
        <v/>
      </c>
      <c r="Q123" s="2">
        <f>IF(P123="","",IF(COUNTA($P$2:$P$300)&lt;=1,0,PERCENTRANK.INC($P$2:$P$300,P123)))</f>
        <v/>
      </c>
      <c r="R123" s="2">
        <f>IF(A123="","",0.45*H123+0.35*Q123+0.20*J123)</f>
        <v/>
      </c>
      <c r="S123">
        <f>IF(G123="","",IF(G123&lt;=0.33,"Low Movement",IF(G123&lt;=0.66,"Medium Movement","High Movement")))</f>
        <v/>
      </c>
      <c r="T123">
        <f>IF(R123="","",IF(R123&gt;=0.67,"High Value Bundle",IF(R123&gt;=0.34,"Medium Value Bundle","Low Value Bundle")))</f>
        <v/>
      </c>
      <c r="U123">
        <f>IF(A123="","",IF(AND(G123&gt;=0.70,J123&gt;=0.70,M123&gt;0),"Yes","No"))</f>
        <v/>
      </c>
      <c r="V123">
        <f>IF(A123="","",IF(AND(S123="Low Movement",M123&gt;0,P123&gt;=2),"Yes","No"))</f>
        <v/>
      </c>
      <c r="W123" s="2">
        <f>IF(T123="","",MIN(0.12,IF(T123="High Value Bundle",0.05,IF(T123="Medium Value Bundle",0.07,0.10))+IF(P123&gt;=8,0.02,0)))</f>
        <v/>
      </c>
      <c r="X123">
        <f>IF(U123="Yes",C123&amp;"|anchor","")</f>
        <v/>
      </c>
      <c r="Y123">
        <f>IF(U123="Yes",B123,"")</f>
        <v/>
      </c>
    </row>
    <row r="124">
      <c r="A124">
        <f>Input_Data!C124</f>
        <v/>
      </c>
      <c r="B124">
        <f>Input_Data!A124</f>
        <v/>
      </c>
      <c r="C124">
        <f>Input_Data!B124</f>
        <v/>
      </c>
      <c r="D124">
        <f>Input_Data!D124</f>
        <v/>
      </c>
      <c r="E124">
        <f>IF(A124="","",SUM(Input_Data!E124:H124))</f>
        <v/>
      </c>
      <c r="F124">
        <f>IF(E124="","",E124/4)</f>
        <v/>
      </c>
      <c r="G124" s="2">
        <f>IF(E124="","",IF(COUNTA($E$2:$E$300)&lt;=1,0,PERCENTRANK.INC($E$2:$E$300,E124)))</f>
        <v/>
      </c>
      <c r="H124" s="2">
        <f>IF(G124="","",1-G124)</f>
        <v/>
      </c>
      <c r="I124" s="2">
        <f>Input_Data!I124</f>
        <v/>
      </c>
      <c r="J124" s="2">
        <f>IF(I124="","",IF(COUNTA($I$2:$I$300)&lt;=1,0,PERCENTRANK.INC($I$2:$I$300,I124)))</f>
        <v/>
      </c>
      <c r="K124">
        <f>Input_Data!J124</f>
        <v/>
      </c>
      <c r="L124">
        <f>Input_Data!K124</f>
        <v/>
      </c>
      <c r="M124">
        <f>Input_Data!L124</f>
        <v/>
      </c>
      <c r="N124">
        <f>IF(K124="","",K124-L124)</f>
        <v/>
      </c>
      <c r="O124">
        <f>IF(A124="","",IF(ABS(M124-N124)&lt;=1,"OK","CHECK"))</f>
        <v/>
      </c>
      <c r="P124">
        <f>IF(M124="","",IF(F124=0,99,M124/F124))</f>
        <v/>
      </c>
      <c r="Q124" s="2">
        <f>IF(P124="","",IF(COUNTA($P$2:$P$300)&lt;=1,0,PERCENTRANK.INC($P$2:$P$300,P124)))</f>
        <v/>
      </c>
      <c r="R124" s="2">
        <f>IF(A124="","",0.45*H124+0.35*Q124+0.20*J124)</f>
        <v/>
      </c>
      <c r="S124">
        <f>IF(G124="","",IF(G124&lt;=0.33,"Low Movement",IF(G124&lt;=0.66,"Medium Movement","High Movement")))</f>
        <v/>
      </c>
      <c r="T124">
        <f>IF(R124="","",IF(R124&gt;=0.67,"High Value Bundle",IF(R124&gt;=0.34,"Medium Value Bundle","Low Value Bundle")))</f>
        <v/>
      </c>
      <c r="U124">
        <f>IF(A124="","",IF(AND(G124&gt;=0.70,J124&gt;=0.70,M124&gt;0),"Yes","No"))</f>
        <v/>
      </c>
      <c r="V124">
        <f>IF(A124="","",IF(AND(S124="Low Movement",M124&gt;0,P124&gt;=2),"Yes","No"))</f>
        <v/>
      </c>
      <c r="W124" s="2">
        <f>IF(T124="","",MIN(0.12,IF(T124="High Value Bundle",0.05,IF(T124="Medium Value Bundle",0.07,0.10))+IF(P124&gt;=8,0.02,0)))</f>
        <v/>
      </c>
      <c r="X124">
        <f>IF(U124="Yes",C124&amp;"|anchor","")</f>
        <v/>
      </c>
      <c r="Y124">
        <f>IF(U124="Yes",B124,"")</f>
        <v/>
      </c>
    </row>
    <row r="125">
      <c r="A125">
        <f>Input_Data!C125</f>
        <v/>
      </c>
      <c r="B125">
        <f>Input_Data!A125</f>
        <v/>
      </c>
      <c r="C125">
        <f>Input_Data!B125</f>
        <v/>
      </c>
      <c r="D125">
        <f>Input_Data!D125</f>
        <v/>
      </c>
      <c r="E125">
        <f>IF(A125="","",SUM(Input_Data!E125:H125))</f>
        <v/>
      </c>
      <c r="F125">
        <f>IF(E125="","",E125/4)</f>
        <v/>
      </c>
      <c r="G125" s="2">
        <f>IF(E125="","",IF(COUNTA($E$2:$E$300)&lt;=1,0,PERCENTRANK.INC($E$2:$E$300,E125)))</f>
        <v/>
      </c>
      <c r="H125" s="2">
        <f>IF(G125="","",1-G125)</f>
        <v/>
      </c>
      <c r="I125" s="2">
        <f>Input_Data!I125</f>
        <v/>
      </c>
      <c r="J125" s="2">
        <f>IF(I125="","",IF(COUNTA($I$2:$I$300)&lt;=1,0,PERCENTRANK.INC($I$2:$I$300,I125)))</f>
        <v/>
      </c>
      <c r="K125">
        <f>Input_Data!J125</f>
        <v/>
      </c>
      <c r="L125">
        <f>Input_Data!K125</f>
        <v/>
      </c>
      <c r="M125">
        <f>Input_Data!L125</f>
        <v/>
      </c>
      <c r="N125">
        <f>IF(K125="","",K125-L125)</f>
        <v/>
      </c>
      <c r="O125">
        <f>IF(A125="","",IF(ABS(M125-N125)&lt;=1,"OK","CHECK"))</f>
        <v/>
      </c>
      <c r="P125">
        <f>IF(M125="","",IF(F125=0,99,M125/F125))</f>
        <v/>
      </c>
      <c r="Q125" s="2">
        <f>IF(P125="","",IF(COUNTA($P$2:$P$300)&lt;=1,0,PERCENTRANK.INC($P$2:$P$300,P125)))</f>
        <v/>
      </c>
      <c r="R125" s="2">
        <f>IF(A125="","",0.45*H125+0.35*Q125+0.20*J125)</f>
        <v/>
      </c>
      <c r="S125">
        <f>IF(G125="","",IF(G125&lt;=0.33,"Low Movement",IF(G125&lt;=0.66,"Medium Movement","High Movement")))</f>
        <v/>
      </c>
      <c r="T125">
        <f>IF(R125="","",IF(R125&gt;=0.67,"High Value Bundle",IF(R125&gt;=0.34,"Medium Value Bundle","Low Value Bundle")))</f>
        <v/>
      </c>
      <c r="U125">
        <f>IF(A125="","",IF(AND(G125&gt;=0.70,J125&gt;=0.70,M125&gt;0),"Yes","No"))</f>
        <v/>
      </c>
      <c r="V125">
        <f>IF(A125="","",IF(AND(S125="Low Movement",M125&gt;0,P125&gt;=2),"Yes","No"))</f>
        <v/>
      </c>
      <c r="W125" s="2">
        <f>IF(T125="","",MIN(0.12,IF(T125="High Value Bundle",0.05,IF(T125="Medium Value Bundle",0.07,0.10))+IF(P125&gt;=8,0.02,0)))</f>
        <v/>
      </c>
      <c r="X125">
        <f>IF(U125="Yes",C125&amp;"|anchor","")</f>
        <v/>
      </c>
      <c r="Y125">
        <f>IF(U125="Yes",B125,"")</f>
        <v/>
      </c>
    </row>
    <row r="126">
      <c r="A126">
        <f>Input_Data!C126</f>
        <v/>
      </c>
      <c r="B126">
        <f>Input_Data!A126</f>
        <v/>
      </c>
      <c r="C126">
        <f>Input_Data!B126</f>
        <v/>
      </c>
      <c r="D126">
        <f>Input_Data!D126</f>
        <v/>
      </c>
      <c r="E126">
        <f>IF(A126="","",SUM(Input_Data!E126:H126))</f>
        <v/>
      </c>
      <c r="F126">
        <f>IF(E126="","",E126/4)</f>
        <v/>
      </c>
      <c r="G126" s="2">
        <f>IF(E126="","",IF(COUNTA($E$2:$E$300)&lt;=1,0,PERCENTRANK.INC($E$2:$E$300,E126)))</f>
        <v/>
      </c>
      <c r="H126" s="2">
        <f>IF(G126="","",1-G126)</f>
        <v/>
      </c>
      <c r="I126" s="2">
        <f>Input_Data!I126</f>
        <v/>
      </c>
      <c r="J126" s="2">
        <f>IF(I126="","",IF(COUNTA($I$2:$I$300)&lt;=1,0,PERCENTRANK.INC($I$2:$I$300,I126)))</f>
        <v/>
      </c>
      <c r="K126">
        <f>Input_Data!J126</f>
        <v/>
      </c>
      <c r="L126">
        <f>Input_Data!K126</f>
        <v/>
      </c>
      <c r="M126">
        <f>Input_Data!L126</f>
        <v/>
      </c>
      <c r="N126">
        <f>IF(K126="","",K126-L126)</f>
        <v/>
      </c>
      <c r="O126">
        <f>IF(A126="","",IF(ABS(M126-N126)&lt;=1,"OK","CHECK"))</f>
        <v/>
      </c>
      <c r="P126">
        <f>IF(M126="","",IF(F126=0,99,M126/F126))</f>
        <v/>
      </c>
      <c r="Q126" s="2">
        <f>IF(P126="","",IF(COUNTA($P$2:$P$300)&lt;=1,0,PERCENTRANK.INC($P$2:$P$300,P126)))</f>
        <v/>
      </c>
      <c r="R126" s="2">
        <f>IF(A126="","",0.45*H126+0.35*Q126+0.20*J126)</f>
        <v/>
      </c>
      <c r="S126">
        <f>IF(G126="","",IF(G126&lt;=0.33,"Low Movement",IF(G126&lt;=0.66,"Medium Movement","High Movement")))</f>
        <v/>
      </c>
      <c r="T126">
        <f>IF(R126="","",IF(R126&gt;=0.67,"High Value Bundle",IF(R126&gt;=0.34,"Medium Value Bundle","Low Value Bundle")))</f>
        <v/>
      </c>
      <c r="U126">
        <f>IF(A126="","",IF(AND(G126&gt;=0.70,J126&gt;=0.70,M126&gt;0),"Yes","No"))</f>
        <v/>
      </c>
      <c r="V126">
        <f>IF(A126="","",IF(AND(S126="Low Movement",M126&gt;0,P126&gt;=2),"Yes","No"))</f>
        <v/>
      </c>
      <c r="W126" s="2">
        <f>IF(T126="","",MIN(0.12,IF(T126="High Value Bundle",0.05,IF(T126="Medium Value Bundle",0.07,0.10))+IF(P126&gt;=8,0.02,0)))</f>
        <v/>
      </c>
      <c r="X126">
        <f>IF(U126="Yes",C126&amp;"|anchor","")</f>
        <v/>
      </c>
      <c r="Y126">
        <f>IF(U126="Yes",B126,"")</f>
        <v/>
      </c>
    </row>
    <row r="127">
      <c r="A127">
        <f>Input_Data!C127</f>
        <v/>
      </c>
      <c r="B127">
        <f>Input_Data!A127</f>
        <v/>
      </c>
      <c r="C127">
        <f>Input_Data!B127</f>
        <v/>
      </c>
      <c r="D127">
        <f>Input_Data!D127</f>
        <v/>
      </c>
      <c r="E127">
        <f>IF(A127="","",SUM(Input_Data!E127:H127))</f>
        <v/>
      </c>
      <c r="F127">
        <f>IF(E127="","",E127/4)</f>
        <v/>
      </c>
      <c r="G127" s="2">
        <f>IF(E127="","",IF(COUNTA($E$2:$E$300)&lt;=1,0,PERCENTRANK.INC($E$2:$E$300,E127)))</f>
        <v/>
      </c>
      <c r="H127" s="2">
        <f>IF(G127="","",1-G127)</f>
        <v/>
      </c>
      <c r="I127" s="2">
        <f>Input_Data!I127</f>
        <v/>
      </c>
      <c r="J127" s="2">
        <f>IF(I127="","",IF(COUNTA($I$2:$I$300)&lt;=1,0,PERCENTRANK.INC($I$2:$I$300,I127)))</f>
        <v/>
      </c>
      <c r="K127">
        <f>Input_Data!J127</f>
        <v/>
      </c>
      <c r="L127">
        <f>Input_Data!K127</f>
        <v/>
      </c>
      <c r="M127">
        <f>Input_Data!L127</f>
        <v/>
      </c>
      <c r="N127">
        <f>IF(K127="","",K127-L127)</f>
        <v/>
      </c>
      <c r="O127">
        <f>IF(A127="","",IF(ABS(M127-N127)&lt;=1,"OK","CHECK"))</f>
        <v/>
      </c>
      <c r="P127">
        <f>IF(M127="","",IF(F127=0,99,M127/F127))</f>
        <v/>
      </c>
      <c r="Q127" s="2">
        <f>IF(P127="","",IF(COUNTA($P$2:$P$300)&lt;=1,0,PERCENTRANK.INC($P$2:$P$300,P127)))</f>
        <v/>
      </c>
      <c r="R127" s="2">
        <f>IF(A127="","",0.45*H127+0.35*Q127+0.20*J127)</f>
        <v/>
      </c>
      <c r="S127">
        <f>IF(G127="","",IF(G127&lt;=0.33,"Low Movement",IF(G127&lt;=0.66,"Medium Movement","High Movement")))</f>
        <v/>
      </c>
      <c r="T127">
        <f>IF(R127="","",IF(R127&gt;=0.67,"High Value Bundle",IF(R127&gt;=0.34,"Medium Value Bundle","Low Value Bundle")))</f>
        <v/>
      </c>
      <c r="U127">
        <f>IF(A127="","",IF(AND(G127&gt;=0.70,J127&gt;=0.70,M127&gt;0),"Yes","No"))</f>
        <v/>
      </c>
      <c r="V127">
        <f>IF(A127="","",IF(AND(S127="Low Movement",M127&gt;0,P127&gt;=2),"Yes","No"))</f>
        <v/>
      </c>
      <c r="W127" s="2">
        <f>IF(T127="","",MIN(0.12,IF(T127="High Value Bundle",0.05,IF(T127="Medium Value Bundle",0.07,0.10))+IF(P127&gt;=8,0.02,0)))</f>
        <v/>
      </c>
      <c r="X127">
        <f>IF(U127="Yes",C127&amp;"|anchor","")</f>
        <v/>
      </c>
      <c r="Y127">
        <f>IF(U127="Yes",B127,"")</f>
        <v/>
      </c>
    </row>
    <row r="128">
      <c r="A128">
        <f>Input_Data!C128</f>
        <v/>
      </c>
      <c r="B128">
        <f>Input_Data!A128</f>
        <v/>
      </c>
      <c r="C128">
        <f>Input_Data!B128</f>
        <v/>
      </c>
      <c r="D128">
        <f>Input_Data!D128</f>
        <v/>
      </c>
      <c r="E128">
        <f>IF(A128="","",SUM(Input_Data!E128:H128))</f>
        <v/>
      </c>
      <c r="F128">
        <f>IF(E128="","",E128/4)</f>
        <v/>
      </c>
      <c r="G128" s="2">
        <f>IF(E128="","",IF(COUNTA($E$2:$E$300)&lt;=1,0,PERCENTRANK.INC($E$2:$E$300,E128)))</f>
        <v/>
      </c>
      <c r="H128" s="2">
        <f>IF(G128="","",1-G128)</f>
        <v/>
      </c>
      <c r="I128" s="2">
        <f>Input_Data!I128</f>
        <v/>
      </c>
      <c r="J128" s="2">
        <f>IF(I128="","",IF(COUNTA($I$2:$I$300)&lt;=1,0,PERCENTRANK.INC($I$2:$I$300,I128)))</f>
        <v/>
      </c>
      <c r="K128">
        <f>Input_Data!J128</f>
        <v/>
      </c>
      <c r="L128">
        <f>Input_Data!K128</f>
        <v/>
      </c>
      <c r="M128">
        <f>Input_Data!L128</f>
        <v/>
      </c>
      <c r="N128">
        <f>IF(K128="","",K128-L128)</f>
        <v/>
      </c>
      <c r="O128">
        <f>IF(A128="","",IF(ABS(M128-N128)&lt;=1,"OK","CHECK"))</f>
        <v/>
      </c>
      <c r="P128">
        <f>IF(M128="","",IF(F128=0,99,M128/F128))</f>
        <v/>
      </c>
      <c r="Q128" s="2">
        <f>IF(P128="","",IF(COUNTA($P$2:$P$300)&lt;=1,0,PERCENTRANK.INC($P$2:$P$300,P128)))</f>
        <v/>
      </c>
      <c r="R128" s="2">
        <f>IF(A128="","",0.45*H128+0.35*Q128+0.20*J128)</f>
        <v/>
      </c>
      <c r="S128">
        <f>IF(G128="","",IF(G128&lt;=0.33,"Low Movement",IF(G128&lt;=0.66,"Medium Movement","High Movement")))</f>
        <v/>
      </c>
      <c r="T128">
        <f>IF(R128="","",IF(R128&gt;=0.67,"High Value Bundle",IF(R128&gt;=0.34,"Medium Value Bundle","Low Value Bundle")))</f>
        <v/>
      </c>
      <c r="U128">
        <f>IF(A128="","",IF(AND(G128&gt;=0.70,J128&gt;=0.70,M128&gt;0),"Yes","No"))</f>
        <v/>
      </c>
      <c r="V128">
        <f>IF(A128="","",IF(AND(S128="Low Movement",M128&gt;0,P128&gt;=2),"Yes","No"))</f>
        <v/>
      </c>
      <c r="W128" s="2">
        <f>IF(T128="","",MIN(0.12,IF(T128="High Value Bundle",0.05,IF(T128="Medium Value Bundle",0.07,0.10))+IF(P128&gt;=8,0.02,0)))</f>
        <v/>
      </c>
      <c r="X128">
        <f>IF(U128="Yes",C128&amp;"|anchor","")</f>
        <v/>
      </c>
      <c r="Y128">
        <f>IF(U128="Yes",B128,"")</f>
        <v/>
      </c>
    </row>
    <row r="129">
      <c r="A129">
        <f>Input_Data!C129</f>
        <v/>
      </c>
      <c r="B129">
        <f>Input_Data!A129</f>
        <v/>
      </c>
      <c r="C129">
        <f>Input_Data!B129</f>
        <v/>
      </c>
      <c r="D129">
        <f>Input_Data!D129</f>
        <v/>
      </c>
      <c r="E129">
        <f>IF(A129="","",SUM(Input_Data!E129:H129))</f>
        <v/>
      </c>
      <c r="F129">
        <f>IF(E129="","",E129/4)</f>
        <v/>
      </c>
      <c r="G129" s="2">
        <f>IF(E129="","",IF(COUNTA($E$2:$E$300)&lt;=1,0,PERCENTRANK.INC($E$2:$E$300,E129)))</f>
        <v/>
      </c>
      <c r="H129" s="2">
        <f>IF(G129="","",1-G129)</f>
        <v/>
      </c>
      <c r="I129" s="2">
        <f>Input_Data!I129</f>
        <v/>
      </c>
      <c r="J129" s="2">
        <f>IF(I129="","",IF(COUNTA($I$2:$I$300)&lt;=1,0,PERCENTRANK.INC($I$2:$I$300,I129)))</f>
        <v/>
      </c>
      <c r="K129">
        <f>Input_Data!J129</f>
        <v/>
      </c>
      <c r="L129">
        <f>Input_Data!K129</f>
        <v/>
      </c>
      <c r="M129">
        <f>Input_Data!L129</f>
        <v/>
      </c>
      <c r="N129">
        <f>IF(K129="","",K129-L129)</f>
        <v/>
      </c>
      <c r="O129">
        <f>IF(A129="","",IF(ABS(M129-N129)&lt;=1,"OK","CHECK"))</f>
        <v/>
      </c>
      <c r="P129">
        <f>IF(M129="","",IF(F129=0,99,M129/F129))</f>
        <v/>
      </c>
      <c r="Q129" s="2">
        <f>IF(P129="","",IF(COUNTA($P$2:$P$300)&lt;=1,0,PERCENTRANK.INC($P$2:$P$300,P129)))</f>
        <v/>
      </c>
      <c r="R129" s="2">
        <f>IF(A129="","",0.45*H129+0.35*Q129+0.20*J129)</f>
        <v/>
      </c>
      <c r="S129">
        <f>IF(G129="","",IF(G129&lt;=0.33,"Low Movement",IF(G129&lt;=0.66,"Medium Movement","High Movement")))</f>
        <v/>
      </c>
      <c r="T129">
        <f>IF(R129="","",IF(R129&gt;=0.67,"High Value Bundle",IF(R129&gt;=0.34,"Medium Value Bundle","Low Value Bundle")))</f>
        <v/>
      </c>
      <c r="U129">
        <f>IF(A129="","",IF(AND(G129&gt;=0.70,J129&gt;=0.70,M129&gt;0),"Yes","No"))</f>
        <v/>
      </c>
      <c r="V129">
        <f>IF(A129="","",IF(AND(S129="Low Movement",M129&gt;0,P129&gt;=2),"Yes","No"))</f>
        <v/>
      </c>
      <c r="W129" s="2">
        <f>IF(T129="","",MIN(0.12,IF(T129="High Value Bundle",0.05,IF(T129="Medium Value Bundle",0.07,0.10))+IF(P129&gt;=8,0.02,0)))</f>
        <v/>
      </c>
      <c r="X129">
        <f>IF(U129="Yes",C129&amp;"|anchor","")</f>
        <v/>
      </c>
      <c r="Y129">
        <f>IF(U129="Yes",B129,"")</f>
        <v/>
      </c>
    </row>
    <row r="130">
      <c r="A130">
        <f>Input_Data!C130</f>
        <v/>
      </c>
      <c r="B130">
        <f>Input_Data!A130</f>
        <v/>
      </c>
      <c r="C130">
        <f>Input_Data!B130</f>
        <v/>
      </c>
      <c r="D130">
        <f>Input_Data!D130</f>
        <v/>
      </c>
      <c r="E130">
        <f>IF(A130="","",SUM(Input_Data!E130:H130))</f>
        <v/>
      </c>
      <c r="F130">
        <f>IF(E130="","",E130/4)</f>
        <v/>
      </c>
      <c r="G130" s="2">
        <f>IF(E130="","",IF(COUNTA($E$2:$E$300)&lt;=1,0,PERCENTRANK.INC($E$2:$E$300,E130)))</f>
        <v/>
      </c>
      <c r="H130" s="2">
        <f>IF(G130="","",1-G130)</f>
        <v/>
      </c>
      <c r="I130" s="2">
        <f>Input_Data!I130</f>
        <v/>
      </c>
      <c r="J130" s="2">
        <f>IF(I130="","",IF(COUNTA($I$2:$I$300)&lt;=1,0,PERCENTRANK.INC($I$2:$I$300,I130)))</f>
        <v/>
      </c>
      <c r="K130">
        <f>Input_Data!J130</f>
        <v/>
      </c>
      <c r="L130">
        <f>Input_Data!K130</f>
        <v/>
      </c>
      <c r="M130">
        <f>Input_Data!L130</f>
        <v/>
      </c>
      <c r="N130">
        <f>IF(K130="","",K130-L130)</f>
        <v/>
      </c>
      <c r="O130">
        <f>IF(A130="","",IF(ABS(M130-N130)&lt;=1,"OK","CHECK"))</f>
        <v/>
      </c>
      <c r="P130">
        <f>IF(M130="","",IF(F130=0,99,M130/F130))</f>
        <v/>
      </c>
      <c r="Q130" s="2">
        <f>IF(P130="","",IF(COUNTA($P$2:$P$300)&lt;=1,0,PERCENTRANK.INC($P$2:$P$300,P130)))</f>
        <v/>
      </c>
      <c r="R130" s="2">
        <f>IF(A130="","",0.45*H130+0.35*Q130+0.20*J130)</f>
        <v/>
      </c>
      <c r="S130">
        <f>IF(G130="","",IF(G130&lt;=0.33,"Low Movement",IF(G130&lt;=0.66,"Medium Movement","High Movement")))</f>
        <v/>
      </c>
      <c r="T130">
        <f>IF(R130="","",IF(R130&gt;=0.67,"High Value Bundle",IF(R130&gt;=0.34,"Medium Value Bundle","Low Value Bundle")))</f>
        <v/>
      </c>
      <c r="U130">
        <f>IF(A130="","",IF(AND(G130&gt;=0.70,J130&gt;=0.70,M130&gt;0),"Yes","No"))</f>
        <v/>
      </c>
      <c r="V130">
        <f>IF(A130="","",IF(AND(S130="Low Movement",M130&gt;0,P130&gt;=2),"Yes","No"))</f>
        <v/>
      </c>
      <c r="W130" s="2">
        <f>IF(T130="","",MIN(0.12,IF(T130="High Value Bundle",0.05,IF(T130="Medium Value Bundle",0.07,0.10))+IF(P130&gt;=8,0.02,0)))</f>
        <v/>
      </c>
      <c r="X130">
        <f>IF(U130="Yes",C130&amp;"|anchor","")</f>
        <v/>
      </c>
      <c r="Y130">
        <f>IF(U130="Yes",B130,"")</f>
        <v/>
      </c>
    </row>
    <row r="131">
      <c r="A131">
        <f>Input_Data!C131</f>
        <v/>
      </c>
      <c r="B131">
        <f>Input_Data!A131</f>
        <v/>
      </c>
      <c r="C131">
        <f>Input_Data!B131</f>
        <v/>
      </c>
      <c r="D131">
        <f>Input_Data!D131</f>
        <v/>
      </c>
      <c r="E131">
        <f>IF(A131="","",SUM(Input_Data!E131:H131))</f>
        <v/>
      </c>
      <c r="F131">
        <f>IF(E131="","",E131/4)</f>
        <v/>
      </c>
      <c r="G131" s="2">
        <f>IF(E131="","",IF(COUNTA($E$2:$E$300)&lt;=1,0,PERCENTRANK.INC($E$2:$E$300,E131)))</f>
        <v/>
      </c>
      <c r="H131" s="2">
        <f>IF(G131="","",1-G131)</f>
        <v/>
      </c>
      <c r="I131" s="2">
        <f>Input_Data!I131</f>
        <v/>
      </c>
      <c r="J131" s="2">
        <f>IF(I131="","",IF(COUNTA($I$2:$I$300)&lt;=1,0,PERCENTRANK.INC($I$2:$I$300,I131)))</f>
        <v/>
      </c>
      <c r="K131">
        <f>Input_Data!J131</f>
        <v/>
      </c>
      <c r="L131">
        <f>Input_Data!K131</f>
        <v/>
      </c>
      <c r="M131">
        <f>Input_Data!L131</f>
        <v/>
      </c>
      <c r="N131">
        <f>IF(K131="","",K131-L131)</f>
        <v/>
      </c>
      <c r="O131">
        <f>IF(A131="","",IF(ABS(M131-N131)&lt;=1,"OK","CHECK"))</f>
        <v/>
      </c>
      <c r="P131">
        <f>IF(M131="","",IF(F131=0,99,M131/F131))</f>
        <v/>
      </c>
      <c r="Q131" s="2">
        <f>IF(P131="","",IF(COUNTA($P$2:$P$300)&lt;=1,0,PERCENTRANK.INC($P$2:$P$300,P131)))</f>
        <v/>
      </c>
      <c r="R131" s="2">
        <f>IF(A131="","",0.45*H131+0.35*Q131+0.20*J131)</f>
        <v/>
      </c>
      <c r="S131">
        <f>IF(G131="","",IF(G131&lt;=0.33,"Low Movement",IF(G131&lt;=0.66,"Medium Movement","High Movement")))</f>
        <v/>
      </c>
      <c r="T131">
        <f>IF(R131="","",IF(R131&gt;=0.67,"High Value Bundle",IF(R131&gt;=0.34,"Medium Value Bundle","Low Value Bundle")))</f>
        <v/>
      </c>
      <c r="U131">
        <f>IF(A131="","",IF(AND(G131&gt;=0.70,J131&gt;=0.70,M131&gt;0),"Yes","No"))</f>
        <v/>
      </c>
      <c r="V131">
        <f>IF(A131="","",IF(AND(S131="Low Movement",M131&gt;0,P131&gt;=2),"Yes","No"))</f>
        <v/>
      </c>
      <c r="W131" s="2">
        <f>IF(T131="","",MIN(0.12,IF(T131="High Value Bundle",0.05,IF(T131="Medium Value Bundle",0.07,0.10))+IF(P131&gt;=8,0.02,0)))</f>
        <v/>
      </c>
      <c r="X131">
        <f>IF(U131="Yes",C131&amp;"|anchor","")</f>
        <v/>
      </c>
      <c r="Y131">
        <f>IF(U131="Yes",B131,"")</f>
        <v/>
      </c>
    </row>
    <row r="132">
      <c r="A132">
        <f>Input_Data!C132</f>
        <v/>
      </c>
      <c r="B132">
        <f>Input_Data!A132</f>
        <v/>
      </c>
      <c r="C132">
        <f>Input_Data!B132</f>
        <v/>
      </c>
      <c r="D132">
        <f>Input_Data!D132</f>
        <v/>
      </c>
      <c r="E132">
        <f>IF(A132="","",SUM(Input_Data!E132:H132))</f>
        <v/>
      </c>
      <c r="F132">
        <f>IF(E132="","",E132/4)</f>
        <v/>
      </c>
      <c r="G132" s="2">
        <f>IF(E132="","",IF(COUNTA($E$2:$E$300)&lt;=1,0,PERCENTRANK.INC($E$2:$E$300,E132)))</f>
        <v/>
      </c>
      <c r="H132" s="2">
        <f>IF(G132="","",1-G132)</f>
        <v/>
      </c>
      <c r="I132" s="2">
        <f>Input_Data!I132</f>
        <v/>
      </c>
      <c r="J132" s="2">
        <f>IF(I132="","",IF(COUNTA($I$2:$I$300)&lt;=1,0,PERCENTRANK.INC($I$2:$I$300,I132)))</f>
        <v/>
      </c>
      <c r="K132">
        <f>Input_Data!J132</f>
        <v/>
      </c>
      <c r="L132">
        <f>Input_Data!K132</f>
        <v/>
      </c>
      <c r="M132">
        <f>Input_Data!L132</f>
        <v/>
      </c>
      <c r="N132">
        <f>IF(K132="","",K132-L132)</f>
        <v/>
      </c>
      <c r="O132">
        <f>IF(A132="","",IF(ABS(M132-N132)&lt;=1,"OK","CHECK"))</f>
        <v/>
      </c>
      <c r="P132">
        <f>IF(M132="","",IF(F132=0,99,M132/F132))</f>
        <v/>
      </c>
      <c r="Q132" s="2">
        <f>IF(P132="","",IF(COUNTA($P$2:$P$300)&lt;=1,0,PERCENTRANK.INC($P$2:$P$300,P132)))</f>
        <v/>
      </c>
      <c r="R132" s="2">
        <f>IF(A132="","",0.45*H132+0.35*Q132+0.20*J132)</f>
        <v/>
      </c>
      <c r="S132">
        <f>IF(G132="","",IF(G132&lt;=0.33,"Low Movement",IF(G132&lt;=0.66,"Medium Movement","High Movement")))</f>
        <v/>
      </c>
      <c r="T132">
        <f>IF(R132="","",IF(R132&gt;=0.67,"High Value Bundle",IF(R132&gt;=0.34,"Medium Value Bundle","Low Value Bundle")))</f>
        <v/>
      </c>
      <c r="U132">
        <f>IF(A132="","",IF(AND(G132&gt;=0.70,J132&gt;=0.70,M132&gt;0),"Yes","No"))</f>
        <v/>
      </c>
      <c r="V132">
        <f>IF(A132="","",IF(AND(S132="Low Movement",M132&gt;0,P132&gt;=2),"Yes","No"))</f>
        <v/>
      </c>
      <c r="W132" s="2">
        <f>IF(T132="","",MIN(0.12,IF(T132="High Value Bundle",0.05,IF(T132="Medium Value Bundle",0.07,0.10))+IF(P132&gt;=8,0.02,0)))</f>
        <v/>
      </c>
      <c r="X132">
        <f>IF(U132="Yes",C132&amp;"|anchor","")</f>
        <v/>
      </c>
      <c r="Y132">
        <f>IF(U132="Yes",B132,"")</f>
        <v/>
      </c>
    </row>
    <row r="133">
      <c r="A133">
        <f>Input_Data!C133</f>
        <v/>
      </c>
      <c r="B133">
        <f>Input_Data!A133</f>
        <v/>
      </c>
      <c r="C133">
        <f>Input_Data!B133</f>
        <v/>
      </c>
      <c r="D133">
        <f>Input_Data!D133</f>
        <v/>
      </c>
      <c r="E133">
        <f>IF(A133="","",SUM(Input_Data!E133:H133))</f>
        <v/>
      </c>
      <c r="F133">
        <f>IF(E133="","",E133/4)</f>
        <v/>
      </c>
      <c r="G133" s="2">
        <f>IF(E133="","",IF(COUNTA($E$2:$E$300)&lt;=1,0,PERCENTRANK.INC($E$2:$E$300,E133)))</f>
        <v/>
      </c>
      <c r="H133" s="2">
        <f>IF(G133="","",1-G133)</f>
        <v/>
      </c>
      <c r="I133" s="2">
        <f>Input_Data!I133</f>
        <v/>
      </c>
      <c r="J133" s="2">
        <f>IF(I133="","",IF(COUNTA($I$2:$I$300)&lt;=1,0,PERCENTRANK.INC($I$2:$I$300,I133)))</f>
        <v/>
      </c>
      <c r="K133">
        <f>Input_Data!J133</f>
        <v/>
      </c>
      <c r="L133">
        <f>Input_Data!K133</f>
        <v/>
      </c>
      <c r="M133">
        <f>Input_Data!L133</f>
        <v/>
      </c>
      <c r="N133">
        <f>IF(K133="","",K133-L133)</f>
        <v/>
      </c>
      <c r="O133">
        <f>IF(A133="","",IF(ABS(M133-N133)&lt;=1,"OK","CHECK"))</f>
        <v/>
      </c>
      <c r="P133">
        <f>IF(M133="","",IF(F133=0,99,M133/F133))</f>
        <v/>
      </c>
      <c r="Q133" s="2">
        <f>IF(P133="","",IF(COUNTA($P$2:$P$300)&lt;=1,0,PERCENTRANK.INC($P$2:$P$300,P133)))</f>
        <v/>
      </c>
      <c r="R133" s="2">
        <f>IF(A133="","",0.45*H133+0.35*Q133+0.20*J133)</f>
        <v/>
      </c>
      <c r="S133">
        <f>IF(G133="","",IF(G133&lt;=0.33,"Low Movement",IF(G133&lt;=0.66,"Medium Movement","High Movement")))</f>
        <v/>
      </c>
      <c r="T133">
        <f>IF(R133="","",IF(R133&gt;=0.67,"High Value Bundle",IF(R133&gt;=0.34,"Medium Value Bundle","Low Value Bundle")))</f>
        <v/>
      </c>
      <c r="U133">
        <f>IF(A133="","",IF(AND(G133&gt;=0.70,J133&gt;=0.70,M133&gt;0),"Yes","No"))</f>
        <v/>
      </c>
      <c r="V133">
        <f>IF(A133="","",IF(AND(S133="Low Movement",M133&gt;0,P133&gt;=2),"Yes","No"))</f>
        <v/>
      </c>
      <c r="W133" s="2">
        <f>IF(T133="","",MIN(0.12,IF(T133="High Value Bundle",0.05,IF(T133="Medium Value Bundle",0.07,0.10))+IF(P133&gt;=8,0.02,0)))</f>
        <v/>
      </c>
      <c r="X133">
        <f>IF(U133="Yes",C133&amp;"|anchor","")</f>
        <v/>
      </c>
      <c r="Y133">
        <f>IF(U133="Yes",B133,"")</f>
        <v/>
      </c>
    </row>
    <row r="134">
      <c r="A134">
        <f>Input_Data!C134</f>
        <v/>
      </c>
      <c r="B134">
        <f>Input_Data!A134</f>
        <v/>
      </c>
      <c r="C134">
        <f>Input_Data!B134</f>
        <v/>
      </c>
      <c r="D134">
        <f>Input_Data!D134</f>
        <v/>
      </c>
      <c r="E134">
        <f>IF(A134="","",SUM(Input_Data!E134:H134))</f>
        <v/>
      </c>
      <c r="F134">
        <f>IF(E134="","",E134/4)</f>
        <v/>
      </c>
      <c r="G134" s="2">
        <f>IF(E134="","",IF(COUNTA($E$2:$E$300)&lt;=1,0,PERCENTRANK.INC($E$2:$E$300,E134)))</f>
        <v/>
      </c>
      <c r="H134" s="2">
        <f>IF(G134="","",1-G134)</f>
        <v/>
      </c>
      <c r="I134" s="2">
        <f>Input_Data!I134</f>
        <v/>
      </c>
      <c r="J134" s="2">
        <f>IF(I134="","",IF(COUNTA($I$2:$I$300)&lt;=1,0,PERCENTRANK.INC($I$2:$I$300,I134)))</f>
        <v/>
      </c>
      <c r="K134">
        <f>Input_Data!J134</f>
        <v/>
      </c>
      <c r="L134">
        <f>Input_Data!K134</f>
        <v/>
      </c>
      <c r="M134">
        <f>Input_Data!L134</f>
        <v/>
      </c>
      <c r="N134">
        <f>IF(K134="","",K134-L134)</f>
        <v/>
      </c>
      <c r="O134">
        <f>IF(A134="","",IF(ABS(M134-N134)&lt;=1,"OK","CHECK"))</f>
        <v/>
      </c>
      <c r="P134">
        <f>IF(M134="","",IF(F134=0,99,M134/F134))</f>
        <v/>
      </c>
      <c r="Q134" s="2">
        <f>IF(P134="","",IF(COUNTA($P$2:$P$300)&lt;=1,0,PERCENTRANK.INC($P$2:$P$300,P134)))</f>
        <v/>
      </c>
      <c r="R134" s="2">
        <f>IF(A134="","",0.45*H134+0.35*Q134+0.20*J134)</f>
        <v/>
      </c>
      <c r="S134">
        <f>IF(G134="","",IF(G134&lt;=0.33,"Low Movement",IF(G134&lt;=0.66,"Medium Movement","High Movement")))</f>
        <v/>
      </c>
      <c r="T134">
        <f>IF(R134="","",IF(R134&gt;=0.67,"High Value Bundle",IF(R134&gt;=0.34,"Medium Value Bundle","Low Value Bundle")))</f>
        <v/>
      </c>
      <c r="U134">
        <f>IF(A134="","",IF(AND(G134&gt;=0.70,J134&gt;=0.70,M134&gt;0),"Yes","No"))</f>
        <v/>
      </c>
      <c r="V134">
        <f>IF(A134="","",IF(AND(S134="Low Movement",M134&gt;0,P134&gt;=2),"Yes","No"))</f>
        <v/>
      </c>
      <c r="W134" s="2">
        <f>IF(T134="","",MIN(0.12,IF(T134="High Value Bundle",0.05,IF(T134="Medium Value Bundle",0.07,0.10))+IF(P134&gt;=8,0.02,0)))</f>
        <v/>
      </c>
      <c r="X134">
        <f>IF(U134="Yes",C134&amp;"|anchor","")</f>
        <v/>
      </c>
      <c r="Y134">
        <f>IF(U134="Yes",B134,"")</f>
        <v/>
      </c>
    </row>
    <row r="135">
      <c r="A135">
        <f>Input_Data!C135</f>
        <v/>
      </c>
      <c r="B135">
        <f>Input_Data!A135</f>
        <v/>
      </c>
      <c r="C135">
        <f>Input_Data!B135</f>
        <v/>
      </c>
      <c r="D135">
        <f>Input_Data!D135</f>
        <v/>
      </c>
      <c r="E135">
        <f>IF(A135="","",SUM(Input_Data!E135:H135))</f>
        <v/>
      </c>
      <c r="F135">
        <f>IF(E135="","",E135/4)</f>
        <v/>
      </c>
      <c r="G135" s="2">
        <f>IF(E135="","",IF(COUNTA($E$2:$E$300)&lt;=1,0,PERCENTRANK.INC($E$2:$E$300,E135)))</f>
        <v/>
      </c>
      <c r="H135" s="2">
        <f>IF(G135="","",1-G135)</f>
        <v/>
      </c>
      <c r="I135" s="2">
        <f>Input_Data!I135</f>
        <v/>
      </c>
      <c r="J135" s="2">
        <f>IF(I135="","",IF(COUNTA($I$2:$I$300)&lt;=1,0,PERCENTRANK.INC($I$2:$I$300,I135)))</f>
        <v/>
      </c>
      <c r="K135">
        <f>Input_Data!J135</f>
        <v/>
      </c>
      <c r="L135">
        <f>Input_Data!K135</f>
        <v/>
      </c>
      <c r="M135">
        <f>Input_Data!L135</f>
        <v/>
      </c>
      <c r="N135">
        <f>IF(K135="","",K135-L135)</f>
        <v/>
      </c>
      <c r="O135">
        <f>IF(A135="","",IF(ABS(M135-N135)&lt;=1,"OK","CHECK"))</f>
        <v/>
      </c>
      <c r="P135">
        <f>IF(M135="","",IF(F135=0,99,M135/F135))</f>
        <v/>
      </c>
      <c r="Q135" s="2">
        <f>IF(P135="","",IF(COUNTA($P$2:$P$300)&lt;=1,0,PERCENTRANK.INC($P$2:$P$300,P135)))</f>
        <v/>
      </c>
      <c r="R135" s="2">
        <f>IF(A135="","",0.45*H135+0.35*Q135+0.20*J135)</f>
        <v/>
      </c>
      <c r="S135">
        <f>IF(G135="","",IF(G135&lt;=0.33,"Low Movement",IF(G135&lt;=0.66,"Medium Movement","High Movement")))</f>
        <v/>
      </c>
      <c r="T135">
        <f>IF(R135="","",IF(R135&gt;=0.67,"High Value Bundle",IF(R135&gt;=0.34,"Medium Value Bundle","Low Value Bundle")))</f>
        <v/>
      </c>
      <c r="U135">
        <f>IF(A135="","",IF(AND(G135&gt;=0.70,J135&gt;=0.70,M135&gt;0),"Yes","No"))</f>
        <v/>
      </c>
      <c r="V135">
        <f>IF(A135="","",IF(AND(S135="Low Movement",M135&gt;0,P135&gt;=2),"Yes","No"))</f>
        <v/>
      </c>
      <c r="W135" s="2">
        <f>IF(T135="","",MIN(0.12,IF(T135="High Value Bundle",0.05,IF(T135="Medium Value Bundle",0.07,0.10))+IF(P135&gt;=8,0.02,0)))</f>
        <v/>
      </c>
      <c r="X135">
        <f>IF(U135="Yes",C135&amp;"|anchor","")</f>
        <v/>
      </c>
      <c r="Y135">
        <f>IF(U135="Yes",B135,"")</f>
        <v/>
      </c>
    </row>
    <row r="136">
      <c r="A136">
        <f>Input_Data!C136</f>
        <v/>
      </c>
      <c r="B136">
        <f>Input_Data!A136</f>
        <v/>
      </c>
      <c r="C136">
        <f>Input_Data!B136</f>
        <v/>
      </c>
      <c r="D136">
        <f>Input_Data!D136</f>
        <v/>
      </c>
      <c r="E136">
        <f>IF(A136="","",SUM(Input_Data!E136:H136))</f>
        <v/>
      </c>
      <c r="F136">
        <f>IF(E136="","",E136/4)</f>
        <v/>
      </c>
      <c r="G136" s="2">
        <f>IF(E136="","",IF(COUNTA($E$2:$E$300)&lt;=1,0,PERCENTRANK.INC($E$2:$E$300,E136)))</f>
        <v/>
      </c>
      <c r="H136" s="2">
        <f>IF(G136="","",1-G136)</f>
        <v/>
      </c>
      <c r="I136" s="2">
        <f>Input_Data!I136</f>
        <v/>
      </c>
      <c r="J136" s="2">
        <f>IF(I136="","",IF(COUNTA($I$2:$I$300)&lt;=1,0,PERCENTRANK.INC($I$2:$I$300,I136)))</f>
        <v/>
      </c>
      <c r="K136">
        <f>Input_Data!J136</f>
        <v/>
      </c>
      <c r="L136">
        <f>Input_Data!K136</f>
        <v/>
      </c>
      <c r="M136">
        <f>Input_Data!L136</f>
        <v/>
      </c>
      <c r="N136">
        <f>IF(K136="","",K136-L136)</f>
        <v/>
      </c>
      <c r="O136">
        <f>IF(A136="","",IF(ABS(M136-N136)&lt;=1,"OK","CHECK"))</f>
        <v/>
      </c>
      <c r="P136">
        <f>IF(M136="","",IF(F136=0,99,M136/F136))</f>
        <v/>
      </c>
      <c r="Q136" s="2">
        <f>IF(P136="","",IF(COUNTA($P$2:$P$300)&lt;=1,0,PERCENTRANK.INC($P$2:$P$300,P136)))</f>
        <v/>
      </c>
      <c r="R136" s="2">
        <f>IF(A136="","",0.45*H136+0.35*Q136+0.20*J136)</f>
        <v/>
      </c>
      <c r="S136">
        <f>IF(G136="","",IF(G136&lt;=0.33,"Low Movement",IF(G136&lt;=0.66,"Medium Movement","High Movement")))</f>
        <v/>
      </c>
      <c r="T136">
        <f>IF(R136="","",IF(R136&gt;=0.67,"High Value Bundle",IF(R136&gt;=0.34,"Medium Value Bundle","Low Value Bundle")))</f>
        <v/>
      </c>
      <c r="U136">
        <f>IF(A136="","",IF(AND(G136&gt;=0.70,J136&gt;=0.70,M136&gt;0),"Yes","No"))</f>
        <v/>
      </c>
      <c r="V136">
        <f>IF(A136="","",IF(AND(S136="Low Movement",M136&gt;0,P136&gt;=2),"Yes","No"))</f>
        <v/>
      </c>
      <c r="W136" s="2">
        <f>IF(T136="","",MIN(0.12,IF(T136="High Value Bundle",0.05,IF(T136="Medium Value Bundle",0.07,0.10))+IF(P136&gt;=8,0.02,0)))</f>
        <v/>
      </c>
      <c r="X136">
        <f>IF(U136="Yes",C136&amp;"|anchor","")</f>
        <v/>
      </c>
      <c r="Y136">
        <f>IF(U136="Yes",B136,"")</f>
        <v/>
      </c>
    </row>
    <row r="137">
      <c r="A137">
        <f>Input_Data!C137</f>
        <v/>
      </c>
      <c r="B137">
        <f>Input_Data!A137</f>
        <v/>
      </c>
      <c r="C137">
        <f>Input_Data!B137</f>
        <v/>
      </c>
      <c r="D137">
        <f>Input_Data!D137</f>
        <v/>
      </c>
      <c r="E137">
        <f>IF(A137="","",SUM(Input_Data!E137:H137))</f>
        <v/>
      </c>
      <c r="F137">
        <f>IF(E137="","",E137/4)</f>
        <v/>
      </c>
      <c r="G137" s="2">
        <f>IF(E137="","",IF(COUNTA($E$2:$E$300)&lt;=1,0,PERCENTRANK.INC($E$2:$E$300,E137)))</f>
        <v/>
      </c>
      <c r="H137" s="2">
        <f>IF(G137="","",1-G137)</f>
        <v/>
      </c>
      <c r="I137" s="2">
        <f>Input_Data!I137</f>
        <v/>
      </c>
      <c r="J137" s="2">
        <f>IF(I137="","",IF(COUNTA($I$2:$I$300)&lt;=1,0,PERCENTRANK.INC($I$2:$I$300,I137)))</f>
        <v/>
      </c>
      <c r="K137">
        <f>Input_Data!J137</f>
        <v/>
      </c>
      <c r="L137">
        <f>Input_Data!K137</f>
        <v/>
      </c>
      <c r="M137">
        <f>Input_Data!L137</f>
        <v/>
      </c>
      <c r="N137">
        <f>IF(K137="","",K137-L137)</f>
        <v/>
      </c>
      <c r="O137">
        <f>IF(A137="","",IF(ABS(M137-N137)&lt;=1,"OK","CHECK"))</f>
        <v/>
      </c>
      <c r="P137">
        <f>IF(M137="","",IF(F137=0,99,M137/F137))</f>
        <v/>
      </c>
      <c r="Q137" s="2">
        <f>IF(P137="","",IF(COUNTA($P$2:$P$300)&lt;=1,0,PERCENTRANK.INC($P$2:$P$300,P137)))</f>
        <v/>
      </c>
      <c r="R137" s="2">
        <f>IF(A137="","",0.45*H137+0.35*Q137+0.20*J137)</f>
        <v/>
      </c>
      <c r="S137">
        <f>IF(G137="","",IF(G137&lt;=0.33,"Low Movement",IF(G137&lt;=0.66,"Medium Movement","High Movement")))</f>
        <v/>
      </c>
      <c r="T137">
        <f>IF(R137="","",IF(R137&gt;=0.67,"High Value Bundle",IF(R137&gt;=0.34,"Medium Value Bundle","Low Value Bundle")))</f>
        <v/>
      </c>
      <c r="U137">
        <f>IF(A137="","",IF(AND(G137&gt;=0.70,J137&gt;=0.70,M137&gt;0),"Yes","No"))</f>
        <v/>
      </c>
      <c r="V137">
        <f>IF(A137="","",IF(AND(S137="Low Movement",M137&gt;0,P137&gt;=2),"Yes","No"))</f>
        <v/>
      </c>
      <c r="W137" s="2">
        <f>IF(T137="","",MIN(0.12,IF(T137="High Value Bundle",0.05,IF(T137="Medium Value Bundle",0.07,0.10))+IF(P137&gt;=8,0.02,0)))</f>
        <v/>
      </c>
      <c r="X137">
        <f>IF(U137="Yes",C137&amp;"|anchor","")</f>
        <v/>
      </c>
      <c r="Y137">
        <f>IF(U137="Yes",B137,"")</f>
        <v/>
      </c>
    </row>
    <row r="138">
      <c r="A138">
        <f>Input_Data!C138</f>
        <v/>
      </c>
      <c r="B138">
        <f>Input_Data!A138</f>
        <v/>
      </c>
      <c r="C138">
        <f>Input_Data!B138</f>
        <v/>
      </c>
      <c r="D138">
        <f>Input_Data!D138</f>
        <v/>
      </c>
      <c r="E138">
        <f>IF(A138="","",SUM(Input_Data!E138:H138))</f>
        <v/>
      </c>
      <c r="F138">
        <f>IF(E138="","",E138/4)</f>
        <v/>
      </c>
      <c r="G138" s="2">
        <f>IF(E138="","",IF(COUNTA($E$2:$E$300)&lt;=1,0,PERCENTRANK.INC($E$2:$E$300,E138)))</f>
        <v/>
      </c>
      <c r="H138" s="2">
        <f>IF(G138="","",1-G138)</f>
        <v/>
      </c>
      <c r="I138" s="2">
        <f>Input_Data!I138</f>
        <v/>
      </c>
      <c r="J138" s="2">
        <f>IF(I138="","",IF(COUNTA($I$2:$I$300)&lt;=1,0,PERCENTRANK.INC($I$2:$I$300,I138)))</f>
        <v/>
      </c>
      <c r="K138">
        <f>Input_Data!J138</f>
        <v/>
      </c>
      <c r="L138">
        <f>Input_Data!K138</f>
        <v/>
      </c>
      <c r="M138">
        <f>Input_Data!L138</f>
        <v/>
      </c>
      <c r="N138">
        <f>IF(K138="","",K138-L138)</f>
        <v/>
      </c>
      <c r="O138">
        <f>IF(A138="","",IF(ABS(M138-N138)&lt;=1,"OK","CHECK"))</f>
        <v/>
      </c>
      <c r="P138">
        <f>IF(M138="","",IF(F138=0,99,M138/F138))</f>
        <v/>
      </c>
      <c r="Q138" s="2">
        <f>IF(P138="","",IF(COUNTA($P$2:$P$300)&lt;=1,0,PERCENTRANK.INC($P$2:$P$300,P138)))</f>
        <v/>
      </c>
      <c r="R138" s="2">
        <f>IF(A138="","",0.45*H138+0.35*Q138+0.20*J138)</f>
        <v/>
      </c>
      <c r="S138">
        <f>IF(G138="","",IF(G138&lt;=0.33,"Low Movement",IF(G138&lt;=0.66,"Medium Movement","High Movement")))</f>
        <v/>
      </c>
      <c r="T138">
        <f>IF(R138="","",IF(R138&gt;=0.67,"High Value Bundle",IF(R138&gt;=0.34,"Medium Value Bundle","Low Value Bundle")))</f>
        <v/>
      </c>
      <c r="U138">
        <f>IF(A138="","",IF(AND(G138&gt;=0.70,J138&gt;=0.70,M138&gt;0),"Yes","No"))</f>
        <v/>
      </c>
      <c r="V138">
        <f>IF(A138="","",IF(AND(S138="Low Movement",M138&gt;0,P138&gt;=2),"Yes","No"))</f>
        <v/>
      </c>
      <c r="W138" s="2">
        <f>IF(T138="","",MIN(0.12,IF(T138="High Value Bundle",0.05,IF(T138="Medium Value Bundle",0.07,0.10))+IF(P138&gt;=8,0.02,0)))</f>
        <v/>
      </c>
      <c r="X138">
        <f>IF(U138="Yes",C138&amp;"|anchor","")</f>
        <v/>
      </c>
      <c r="Y138">
        <f>IF(U138="Yes",B138,"")</f>
        <v/>
      </c>
    </row>
    <row r="139">
      <c r="A139">
        <f>Input_Data!C139</f>
        <v/>
      </c>
      <c r="B139">
        <f>Input_Data!A139</f>
        <v/>
      </c>
      <c r="C139">
        <f>Input_Data!B139</f>
        <v/>
      </c>
      <c r="D139">
        <f>Input_Data!D139</f>
        <v/>
      </c>
      <c r="E139">
        <f>IF(A139="","",SUM(Input_Data!E139:H139))</f>
        <v/>
      </c>
      <c r="F139">
        <f>IF(E139="","",E139/4)</f>
        <v/>
      </c>
      <c r="G139" s="2">
        <f>IF(E139="","",IF(COUNTA($E$2:$E$300)&lt;=1,0,PERCENTRANK.INC($E$2:$E$300,E139)))</f>
        <v/>
      </c>
      <c r="H139" s="2">
        <f>IF(G139="","",1-G139)</f>
        <v/>
      </c>
      <c r="I139" s="2">
        <f>Input_Data!I139</f>
        <v/>
      </c>
      <c r="J139" s="2">
        <f>IF(I139="","",IF(COUNTA($I$2:$I$300)&lt;=1,0,PERCENTRANK.INC($I$2:$I$300,I139)))</f>
        <v/>
      </c>
      <c r="K139">
        <f>Input_Data!J139</f>
        <v/>
      </c>
      <c r="L139">
        <f>Input_Data!K139</f>
        <v/>
      </c>
      <c r="M139">
        <f>Input_Data!L139</f>
        <v/>
      </c>
      <c r="N139">
        <f>IF(K139="","",K139-L139)</f>
        <v/>
      </c>
      <c r="O139">
        <f>IF(A139="","",IF(ABS(M139-N139)&lt;=1,"OK","CHECK"))</f>
        <v/>
      </c>
      <c r="P139">
        <f>IF(M139="","",IF(F139=0,99,M139/F139))</f>
        <v/>
      </c>
      <c r="Q139" s="2">
        <f>IF(P139="","",IF(COUNTA($P$2:$P$300)&lt;=1,0,PERCENTRANK.INC($P$2:$P$300,P139)))</f>
        <v/>
      </c>
      <c r="R139" s="2">
        <f>IF(A139="","",0.45*H139+0.35*Q139+0.20*J139)</f>
        <v/>
      </c>
      <c r="S139">
        <f>IF(G139="","",IF(G139&lt;=0.33,"Low Movement",IF(G139&lt;=0.66,"Medium Movement","High Movement")))</f>
        <v/>
      </c>
      <c r="T139">
        <f>IF(R139="","",IF(R139&gt;=0.67,"High Value Bundle",IF(R139&gt;=0.34,"Medium Value Bundle","Low Value Bundle")))</f>
        <v/>
      </c>
      <c r="U139">
        <f>IF(A139="","",IF(AND(G139&gt;=0.70,J139&gt;=0.70,M139&gt;0),"Yes","No"))</f>
        <v/>
      </c>
      <c r="V139">
        <f>IF(A139="","",IF(AND(S139="Low Movement",M139&gt;0,P139&gt;=2),"Yes","No"))</f>
        <v/>
      </c>
      <c r="W139" s="2">
        <f>IF(T139="","",MIN(0.12,IF(T139="High Value Bundle",0.05,IF(T139="Medium Value Bundle",0.07,0.10))+IF(P139&gt;=8,0.02,0)))</f>
        <v/>
      </c>
      <c r="X139">
        <f>IF(U139="Yes",C139&amp;"|anchor","")</f>
        <v/>
      </c>
      <c r="Y139">
        <f>IF(U139="Yes",B139,"")</f>
        <v/>
      </c>
    </row>
    <row r="140">
      <c r="A140">
        <f>Input_Data!C140</f>
        <v/>
      </c>
      <c r="B140">
        <f>Input_Data!A140</f>
        <v/>
      </c>
      <c r="C140">
        <f>Input_Data!B140</f>
        <v/>
      </c>
      <c r="D140">
        <f>Input_Data!D140</f>
        <v/>
      </c>
      <c r="E140">
        <f>IF(A140="","",SUM(Input_Data!E140:H140))</f>
        <v/>
      </c>
      <c r="F140">
        <f>IF(E140="","",E140/4)</f>
        <v/>
      </c>
      <c r="G140" s="2">
        <f>IF(E140="","",IF(COUNTA($E$2:$E$300)&lt;=1,0,PERCENTRANK.INC($E$2:$E$300,E140)))</f>
        <v/>
      </c>
      <c r="H140" s="2">
        <f>IF(G140="","",1-G140)</f>
        <v/>
      </c>
      <c r="I140" s="2">
        <f>Input_Data!I140</f>
        <v/>
      </c>
      <c r="J140" s="2">
        <f>IF(I140="","",IF(COUNTA($I$2:$I$300)&lt;=1,0,PERCENTRANK.INC($I$2:$I$300,I140)))</f>
        <v/>
      </c>
      <c r="K140">
        <f>Input_Data!J140</f>
        <v/>
      </c>
      <c r="L140">
        <f>Input_Data!K140</f>
        <v/>
      </c>
      <c r="M140">
        <f>Input_Data!L140</f>
        <v/>
      </c>
      <c r="N140">
        <f>IF(K140="","",K140-L140)</f>
        <v/>
      </c>
      <c r="O140">
        <f>IF(A140="","",IF(ABS(M140-N140)&lt;=1,"OK","CHECK"))</f>
        <v/>
      </c>
      <c r="P140">
        <f>IF(M140="","",IF(F140=0,99,M140/F140))</f>
        <v/>
      </c>
      <c r="Q140" s="2">
        <f>IF(P140="","",IF(COUNTA($P$2:$P$300)&lt;=1,0,PERCENTRANK.INC($P$2:$P$300,P140)))</f>
        <v/>
      </c>
      <c r="R140" s="2">
        <f>IF(A140="","",0.45*H140+0.35*Q140+0.20*J140)</f>
        <v/>
      </c>
      <c r="S140">
        <f>IF(G140="","",IF(G140&lt;=0.33,"Low Movement",IF(G140&lt;=0.66,"Medium Movement","High Movement")))</f>
        <v/>
      </c>
      <c r="T140">
        <f>IF(R140="","",IF(R140&gt;=0.67,"High Value Bundle",IF(R140&gt;=0.34,"Medium Value Bundle","Low Value Bundle")))</f>
        <v/>
      </c>
      <c r="U140">
        <f>IF(A140="","",IF(AND(G140&gt;=0.70,J140&gt;=0.70,M140&gt;0),"Yes","No"))</f>
        <v/>
      </c>
      <c r="V140">
        <f>IF(A140="","",IF(AND(S140="Low Movement",M140&gt;0,P140&gt;=2),"Yes","No"))</f>
        <v/>
      </c>
      <c r="W140" s="2">
        <f>IF(T140="","",MIN(0.12,IF(T140="High Value Bundle",0.05,IF(T140="Medium Value Bundle",0.07,0.10))+IF(P140&gt;=8,0.02,0)))</f>
        <v/>
      </c>
      <c r="X140">
        <f>IF(U140="Yes",C140&amp;"|anchor","")</f>
        <v/>
      </c>
      <c r="Y140">
        <f>IF(U140="Yes",B140,"")</f>
        <v/>
      </c>
    </row>
    <row r="141">
      <c r="A141">
        <f>Input_Data!C141</f>
        <v/>
      </c>
      <c r="B141">
        <f>Input_Data!A141</f>
        <v/>
      </c>
      <c r="C141">
        <f>Input_Data!B141</f>
        <v/>
      </c>
      <c r="D141">
        <f>Input_Data!D141</f>
        <v/>
      </c>
      <c r="E141">
        <f>IF(A141="","",SUM(Input_Data!E141:H141))</f>
        <v/>
      </c>
      <c r="F141">
        <f>IF(E141="","",E141/4)</f>
        <v/>
      </c>
      <c r="G141" s="2">
        <f>IF(E141="","",IF(COUNTA($E$2:$E$300)&lt;=1,0,PERCENTRANK.INC($E$2:$E$300,E141)))</f>
        <v/>
      </c>
      <c r="H141" s="2">
        <f>IF(G141="","",1-G141)</f>
        <v/>
      </c>
      <c r="I141" s="2">
        <f>Input_Data!I141</f>
        <v/>
      </c>
      <c r="J141" s="2">
        <f>IF(I141="","",IF(COUNTA($I$2:$I$300)&lt;=1,0,PERCENTRANK.INC($I$2:$I$300,I141)))</f>
        <v/>
      </c>
      <c r="K141">
        <f>Input_Data!J141</f>
        <v/>
      </c>
      <c r="L141">
        <f>Input_Data!K141</f>
        <v/>
      </c>
      <c r="M141">
        <f>Input_Data!L141</f>
        <v/>
      </c>
      <c r="N141">
        <f>IF(K141="","",K141-L141)</f>
        <v/>
      </c>
      <c r="O141">
        <f>IF(A141="","",IF(ABS(M141-N141)&lt;=1,"OK","CHECK"))</f>
        <v/>
      </c>
      <c r="P141">
        <f>IF(M141="","",IF(F141=0,99,M141/F141))</f>
        <v/>
      </c>
      <c r="Q141" s="2">
        <f>IF(P141="","",IF(COUNTA($P$2:$P$300)&lt;=1,0,PERCENTRANK.INC($P$2:$P$300,P141)))</f>
        <v/>
      </c>
      <c r="R141" s="2">
        <f>IF(A141="","",0.45*H141+0.35*Q141+0.20*J141)</f>
        <v/>
      </c>
      <c r="S141">
        <f>IF(G141="","",IF(G141&lt;=0.33,"Low Movement",IF(G141&lt;=0.66,"Medium Movement","High Movement")))</f>
        <v/>
      </c>
      <c r="T141">
        <f>IF(R141="","",IF(R141&gt;=0.67,"High Value Bundle",IF(R141&gt;=0.34,"Medium Value Bundle","Low Value Bundle")))</f>
        <v/>
      </c>
      <c r="U141">
        <f>IF(A141="","",IF(AND(G141&gt;=0.70,J141&gt;=0.70,M141&gt;0),"Yes","No"))</f>
        <v/>
      </c>
      <c r="V141">
        <f>IF(A141="","",IF(AND(S141="Low Movement",M141&gt;0,P141&gt;=2),"Yes","No"))</f>
        <v/>
      </c>
      <c r="W141" s="2">
        <f>IF(T141="","",MIN(0.12,IF(T141="High Value Bundle",0.05,IF(T141="Medium Value Bundle",0.07,0.10))+IF(P141&gt;=8,0.02,0)))</f>
        <v/>
      </c>
      <c r="X141">
        <f>IF(U141="Yes",C141&amp;"|anchor","")</f>
        <v/>
      </c>
      <c r="Y141">
        <f>IF(U141="Yes",B141,"")</f>
        <v/>
      </c>
    </row>
    <row r="142">
      <c r="A142">
        <f>Input_Data!C142</f>
        <v/>
      </c>
      <c r="B142">
        <f>Input_Data!A142</f>
        <v/>
      </c>
      <c r="C142">
        <f>Input_Data!B142</f>
        <v/>
      </c>
      <c r="D142">
        <f>Input_Data!D142</f>
        <v/>
      </c>
      <c r="E142">
        <f>IF(A142="","",SUM(Input_Data!E142:H142))</f>
        <v/>
      </c>
      <c r="F142">
        <f>IF(E142="","",E142/4)</f>
        <v/>
      </c>
      <c r="G142" s="2">
        <f>IF(E142="","",IF(COUNTA($E$2:$E$300)&lt;=1,0,PERCENTRANK.INC($E$2:$E$300,E142)))</f>
        <v/>
      </c>
      <c r="H142" s="2">
        <f>IF(G142="","",1-G142)</f>
        <v/>
      </c>
      <c r="I142" s="2">
        <f>Input_Data!I142</f>
        <v/>
      </c>
      <c r="J142" s="2">
        <f>IF(I142="","",IF(COUNTA($I$2:$I$300)&lt;=1,0,PERCENTRANK.INC($I$2:$I$300,I142)))</f>
        <v/>
      </c>
      <c r="K142">
        <f>Input_Data!J142</f>
        <v/>
      </c>
      <c r="L142">
        <f>Input_Data!K142</f>
        <v/>
      </c>
      <c r="M142">
        <f>Input_Data!L142</f>
        <v/>
      </c>
      <c r="N142">
        <f>IF(K142="","",K142-L142)</f>
        <v/>
      </c>
      <c r="O142">
        <f>IF(A142="","",IF(ABS(M142-N142)&lt;=1,"OK","CHECK"))</f>
        <v/>
      </c>
      <c r="P142">
        <f>IF(M142="","",IF(F142=0,99,M142/F142))</f>
        <v/>
      </c>
      <c r="Q142" s="2">
        <f>IF(P142="","",IF(COUNTA($P$2:$P$300)&lt;=1,0,PERCENTRANK.INC($P$2:$P$300,P142)))</f>
        <v/>
      </c>
      <c r="R142" s="2">
        <f>IF(A142="","",0.45*H142+0.35*Q142+0.20*J142)</f>
        <v/>
      </c>
      <c r="S142">
        <f>IF(G142="","",IF(G142&lt;=0.33,"Low Movement",IF(G142&lt;=0.66,"Medium Movement","High Movement")))</f>
        <v/>
      </c>
      <c r="T142">
        <f>IF(R142="","",IF(R142&gt;=0.67,"High Value Bundle",IF(R142&gt;=0.34,"Medium Value Bundle","Low Value Bundle")))</f>
        <v/>
      </c>
      <c r="U142">
        <f>IF(A142="","",IF(AND(G142&gt;=0.70,J142&gt;=0.70,M142&gt;0),"Yes","No"))</f>
        <v/>
      </c>
      <c r="V142">
        <f>IF(A142="","",IF(AND(S142="Low Movement",M142&gt;0,P142&gt;=2),"Yes","No"))</f>
        <v/>
      </c>
      <c r="W142" s="2">
        <f>IF(T142="","",MIN(0.12,IF(T142="High Value Bundle",0.05,IF(T142="Medium Value Bundle",0.07,0.10))+IF(P142&gt;=8,0.02,0)))</f>
        <v/>
      </c>
      <c r="X142">
        <f>IF(U142="Yes",C142&amp;"|anchor","")</f>
        <v/>
      </c>
      <c r="Y142">
        <f>IF(U142="Yes",B142,"")</f>
        <v/>
      </c>
    </row>
    <row r="143">
      <c r="A143">
        <f>Input_Data!C143</f>
        <v/>
      </c>
      <c r="B143">
        <f>Input_Data!A143</f>
        <v/>
      </c>
      <c r="C143">
        <f>Input_Data!B143</f>
        <v/>
      </c>
      <c r="D143">
        <f>Input_Data!D143</f>
        <v/>
      </c>
      <c r="E143">
        <f>IF(A143="","",SUM(Input_Data!E143:H143))</f>
        <v/>
      </c>
      <c r="F143">
        <f>IF(E143="","",E143/4)</f>
        <v/>
      </c>
      <c r="G143" s="2">
        <f>IF(E143="","",IF(COUNTA($E$2:$E$300)&lt;=1,0,PERCENTRANK.INC($E$2:$E$300,E143)))</f>
        <v/>
      </c>
      <c r="H143" s="2">
        <f>IF(G143="","",1-G143)</f>
        <v/>
      </c>
      <c r="I143" s="2">
        <f>Input_Data!I143</f>
        <v/>
      </c>
      <c r="J143" s="2">
        <f>IF(I143="","",IF(COUNTA($I$2:$I$300)&lt;=1,0,PERCENTRANK.INC($I$2:$I$300,I143)))</f>
        <v/>
      </c>
      <c r="K143">
        <f>Input_Data!J143</f>
        <v/>
      </c>
      <c r="L143">
        <f>Input_Data!K143</f>
        <v/>
      </c>
      <c r="M143">
        <f>Input_Data!L143</f>
        <v/>
      </c>
      <c r="N143">
        <f>IF(K143="","",K143-L143)</f>
        <v/>
      </c>
      <c r="O143">
        <f>IF(A143="","",IF(ABS(M143-N143)&lt;=1,"OK","CHECK"))</f>
        <v/>
      </c>
      <c r="P143">
        <f>IF(M143="","",IF(F143=0,99,M143/F143))</f>
        <v/>
      </c>
      <c r="Q143" s="2">
        <f>IF(P143="","",IF(COUNTA($P$2:$P$300)&lt;=1,0,PERCENTRANK.INC($P$2:$P$300,P143)))</f>
        <v/>
      </c>
      <c r="R143" s="2">
        <f>IF(A143="","",0.45*H143+0.35*Q143+0.20*J143)</f>
        <v/>
      </c>
      <c r="S143">
        <f>IF(G143="","",IF(G143&lt;=0.33,"Low Movement",IF(G143&lt;=0.66,"Medium Movement","High Movement")))</f>
        <v/>
      </c>
      <c r="T143">
        <f>IF(R143="","",IF(R143&gt;=0.67,"High Value Bundle",IF(R143&gt;=0.34,"Medium Value Bundle","Low Value Bundle")))</f>
        <v/>
      </c>
      <c r="U143">
        <f>IF(A143="","",IF(AND(G143&gt;=0.70,J143&gt;=0.70,M143&gt;0),"Yes","No"))</f>
        <v/>
      </c>
      <c r="V143">
        <f>IF(A143="","",IF(AND(S143="Low Movement",M143&gt;0,P143&gt;=2),"Yes","No"))</f>
        <v/>
      </c>
      <c r="W143" s="2">
        <f>IF(T143="","",MIN(0.12,IF(T143="High Value Bundle",0.05,IF(T143="Medium Value Bundle",0.07,0.10))+IF(P143&gt;=8,0.02,0)))</f>
        <v/>
      </c>
      <c r="X143">
        <f>IF(U143="Yes",C143&amp;"|anchor","")</f>
        <v/>
      </c>
      <c r="Y143">
        <f>IF(U143="Yes",B143,"")</f>
        <v/>
      </c>
    </row>
    <row r="144">
      <c r="A144">
        <f>Input_Data!C144</f>
        <v/>
      </c>
      <c r="B144">
        <f>Input_Data!A144</f>
        <v/>
      </c>
      <c r="C144">
        <f>Input_Data!B144</f>
        <v/>
      </c>
      <c r="D144">
        <f>Input_Data!D144</f>
        <v/>
      </c>
      <c r="E144">
        <f>IF(A144="","",SUM(Input_Data!E144:H144))</f>
        <v/>
      </c>
      <c r="F144">
        <f>IF(E144="","",E144/4)</f>
        <v/>
      </c>
      <c r="G144" s="2">
        <f>IF(E144="","",IF(COUNTA($E$2:$E$300)&lt;=1,0,PERCENTRANK.INC($E$2:$E$300,E144)))</f>
        <v/>
      </c>
      <c r="H144" s="2">
        <f>IF(G144="","",1-G144)</f>
        <v/>
      </c>
      <c r="I144" s="2">
        <f>Input_Data!I144</f>
        <v/>
      </c>
      <c r="J144" s="2">
        <f>IF(I144="","",IF(COUNTA($I$2:$I$300)&lt;=1,0,PERCENTRANK.INC($I$2:$I$300,I144)))</f>
        <v/>
      </c>
      <c r="K144">
        <f>Input_Data!J144</f>
        <v/>
      </c>
      <c r="L144">
        <f>Input_Data!K144</f>
        <v/>
      </c>
      <c r="M144">
        <f>Input_Data!L144</f>
        <v/>
      </c>
      <c r="N144">
        <f>IF(K144="","",K144-L144)</f>
        <v/>
      </c>
      <c r="O144">
        <f>IF(A144="","",IF(ABS(M144-N144)&lt;=1,"OK","CHECK"))</f>
        <v/>
      </c>
      <c r="P144">
        <f>IF(M144="","",IF(F144=0,99,M144/F144))</f>
        <v/>
      </c>
      <c r="Q144" s="2">
        <f>IF(P144="","",IF(COUNTA($P$2:$P$300)&lt;=1,0,PERCENTRANK.INC($P$2:$P$300,P144)))</f>
        <v/>
      </c>
      <c r="R144" s="2">
        <f>IF(A144="","",0.45*H144+0.35*Q144+0.20*J144)</f>
        <v/>
      </c>
      <c r="S144">
        <f>IF(G144="","",IF(G144&lt;=0.33,"Low Movement",IF(G144&lt;=0.66,"Medium Movement","High Movement")))</f>
        <v/>
      </c>
      <c r="T144">
        <f>IF(R144="","",IF(R144&gt;=0.67,"High Value Bundle",IF(R144&gt;=0.34,"Medium Value Bundle","Low Value Bundle")))</f>
        <v/>
      </c>
      <c r="U144">
        <f>IF(A144="","",IF(AND(G144&gt;=0.70,J144&gt;=0.70,M144&gt;0),"Yes","No"))</f>
        <v/>
      </c>
      <c r="V144">
        <f>IF(A144="","",IF(AND(S144="Low Movement",M144&gt;0,P144&gt;=2),"Yes","No"))</f>
        <v/>
      </c>
      <c r="W144" s="2">
        <f>IF(T144="","",MIN(0.12,IF(T144="High Value Bundle",0.05,IF(T144="Medium Value Bundle",0.07,0.10))+IF(P144&gt;=8,0.02,0)))</f>
        <v/>
      </c>
      <c r="X144">
        <f>IF(U144="Yes",C144&amp;"|anchor","")</f>
        <v/>
      </c>
      <c r="Y144">
        <f>IF(U144="Yes",B144,"")</f>
        <v/>
      </c>
    </row>
    <row r="145">
      <c r="A145">
        <f>Input_Data!C145</f>
        <v/>
      </c>
      <c r="B145">
        <f>Input_Data!A145</f>
        <v/>
      </c>
      <c r="C145">
        <f>Input_Data!B145</f>
        <v/>
      </c>
      <c r="D145">
        <f>Input_Data!D145</f>
        <v/>
      </c>
      <c r="E145">
        <f>IF(A145="","",SUM(Input_Data!E145:H145))</f>
        <v/>
      </c>
      <c r="F145">
        <f>IF(E145="","",E145/4)</f>
        <v/>
      </c>
      <c r="G145" s="2">
        <f>IF(E145="","",IF(COUNTA($E$2:$E$300)&lt;=1,0,PERCENTRANK.INC($E$2:$E$300,E145)))</f>
        <v/>
      </c>
      <c r="H145" s="2">
        <f>IF(G145="","",1-G145)</f>
        <v/>
      </c>
      <c r="I145" s="2">
        <f>Input_Data!I145</f>
        <v/>
      </c>
      <c r="J145" s="2">
        <f>IF(I145="","",IF(COUNTA($I$2:$I$300)&lt;=1,0,PERCENTRANK.INC($I$2:$I$300,I145)))</f>
        <v/>
      </c>
      <c r="K145">
        <f>Input_Data!J145</f>
        <v/>
      </c>
      <c r="L145">
        <f>Input_Data!K145</f>
        <v/>
      </c>
      <c r="M145">
        <f>Input_Data!L145</f>
        <v/>
      </c>
      <c r="N145">
        <f>IF(K145="","",K145-L145)</f>
        <v/>
      </c>
      <c r="O145">
        <f>IF(A145="","",IF(ABS(M145-N145)&lt;=1,"OK","CHECK"))</f>
        <v/>
      </c>
      <c r="P145">
        <f>IF(M145="","",IF(F145=0,99,M145/F145))</f>
        <v/>
      </c>
      <c r="Q145" s="2">
        <f>IF(P145="","",IF(COUNTA($P$2:$P$300)&lt;=1,0,PERCENTRANK.INC($P$2:$P$300,P145)))</f>
        <v/>
      </c>
      <c r="R145" s="2">
        <f>IF(A145="","",0.45*H145+0.35*Q145+0.20*J145)</f>
        <v/>
      </c>
      <c r="S145">
        <f>IF(G145="","",IF(G145&lt;=0.33,"Low Movement",IF(G145&lt;=0.66,"Medium Movement","High Movement")))</f>
        <v/>
      </c>
      <c r="T145">
        <f>IF(R145="","",IF(R145&gt;=0.67,"High Value Bundle",IF(R145&gt;=0.34,"Medium Value Bundle","Low Value Bundle")))</f>
        <v/>
      </c>
      <c r="U145">
        <f>IF(A145="","",IF(AND(G145&gt;=0.70,J145&gt;=0.70,M145&gt;0),"Yes","No"))</f>
        <v/>
      </c>
      <c r="V145">
        <f>IF(A145="","",IF(AND(S145="Low Movement",M145&gt;0,P145&gt;=2),"Yes","No"))</f>
        <v/>
      </c>
      <c r="W145" s="2">
        <f>IF(T145="","",MIN(0.12,IF(T145="High Value Bundle",0.05,IF(T145="Medium Value Bundle",0.07,0.10))+IF(P145&gt;=8,0.02,0)))</f>
        <v/>
      </c>
      <c r="X145">
        <f>IF(U145="Yes",C145&amp;"|anchor","")</f>
        <v/>
      </c>
      <c r="Y145">
        <f>IF(U145="Yes",B145,"")</f>
        <v/>
      </c>
    </row>
    <row r="146">
      <c r="A146">
        <f>Input_Data!C146</f>
        <v/>
      </c>
      <c r="B146">
        <f>Input_Data!A146</f>
        <v/>
      </c>
      <c r="C146">
        <f>Input_Data!B146</f>
        <v/>
      </c>
      <c r="D146">
        <f>Input_Data!D146</f>
        <v/>
      </c>
      <c r="E146">
        <f>IF(A146="","",SUM(Input_Data!E146:H146))</f>
        <v/>
      </c>
      <c r="F146">
        <f>IF(E146="","",E146/4)</f>
        <v/>
      </c>
      <c r="G146" s="2">
        <f>IF(E146="","",IF(COUNTA($E$2:$E$300)&lt;=1,0,PERCENTRANK.INC($E$2:$E$300,E146)))</f>
        <v/>
      </c>
      <c r="H146" s="2">
        <f>IF(G146="","",1-G146)</f>
        <v/>
      </c>
      <c r="I146" s="2">
        <f>Input_Data!I146</f>
        <v/>
      </c>
      <c r="J146" s="2">
        <f>IF(I146="","",IF(COUNTA($I$2:$I$300)&lt;=1,0,PERCENTRANK.INC($I$2:$I$300,I146)))</f>
        <v/>
      </c>
      <c r="K146">
        <f>Input_Data!J146</f>
        <v/>
      </c>
      <c r="L146">
        <f>Input_Data!K146</f>
        <v/>
      </c>
      <c r="M146">
        <f>Input_Data!L146</f>
        <v/>
      </c>
      <c r="N146">
        <f>IF(K146="","",K146-L146)</f>
        <v/>
      </c>
      <c r="O146">
        <f>IF(A146="","",IF(ABS(M146-N146)&lt;=1,"OK","CHECK"))</f>
        <v/>
      </c>
      <c r="P146">
        <f>IF(M146="","",IF(F146=0,99,M146/F146))</f>
        <v/>
      </c>
      <c r="Q146" s="2">
        <f>IF(P146="","",IF(COUNTA($P$2:$P$300)&lt;=1,0,PERCENTRANK.INC($P$2:$P$300,P146)))</f>
        <v/>
      </c>
      <c r="R146" s="2">
        <f>IF(A146="","",0.45*H146+0.35*Q146+0.20*J146)</f>
        <v/>
      </c>
      <c r="S146">
        <f>IF(G146="","",IF(G146&lt;=0.33,"Low Movement",IF(G146&lt;=0.66,"Medium Movement","High Movement")))</f>
        <v/>
      </c>
      <c r="T146">
        <f>IF(R146="","",IF(R146&gt;=0.67,"High Value Bundle",IF(R146&gt;=0.34,"Medium Value Bundle","Low Value Bundle")))</f>
        <v/>
      </c>
      <c r="U146">
        <f>IF(A146="","",IF(AND(G146&gt;=0.70,J146&gt;=0.70,M146&gt;0),"Yes","No"))</f>
        <v/>
      </c>
      <c r="V146">
        <f>IF(A146="","",IF(AND(S146="Low Movement",M146&gt;0,P146&gt;=2),"Yes","No"))</f>
        <v/>
      </c>
      <c r="W146" s="2">
        <f>IF(T146="","",MIN(0.12,IF(T146="High Value Bundle",0.05,IF(T146="Medium Value Bundle",0.07,0.10))+IF(P146&gt;=8,0.02,0)))</f>
        <v/>
      </c>
      <c r="X146">
        <f>IF(U146="Yes",C146&amp;"|anchor","")</f>
        <v/>
      </c>
      <c r="Y146">
        <f>IF(U146="Yes",B146,"")</f>
        <v/>
      </c>
    </row>
    <row r="147">
      <c r="A147">
        <f>Input_Data!C147</f>
        <v/>
      </c>
      <c r="B147">
        <f>Input_Data!A147</f>
        <v/>
      </c>
      <c r="C147">
        <f>Input_Data!B147</f>
        <v/>
      </c>
      <c r="D147">
        <f>Input_Data!D147</f>
        <v/>
      </c>
      <c r="E147">
        <f>IF(A147="","",SUM(Input_Data!E147:H147))</f>
        <v/>
      </c>
      <c r="F147">
        <f>IF(E147="","",E147/4)</f>
        <v/>
      </c>
      <c r="G147" s="2">
        <f>IF(E147="","",IF(COUNTA($E$2:$E$300)&lt;=1,0,PERCENTRANK.INC($E$2:$E$300,E147)))</f>
        <v/>
      </c>
      <c r="H147" s="2">
        <f>IF(G147="","",1-G147)</f>
        <v/>
      </c>
      <c r="I147" s="2">
        <f>Input_Data!I147</f>
        <v/>
      </c>
      <c r="J147" s="2">
        <f>IF(I147="","",IF(COUNTA($I$2:$I$300)&lt;=1,0,PERCENTRANK.INC($I$2:$I$300,I147)))</f>
        <v/>
      </c>
      <c r="K147">
        <f>Input_Data!J147</f>
        <v/>
      </c>
      <c r="L147">
        <f>Input_Data!K147</f>
        <v/>
      </c>
      <c r="M147">
        <f>Input_Data!L147</f>
        <v/>
      </c>
      <c r="N147">
        <f>IF(K147="","",K147-L147)</f>
        <v/>
      </c>
      <c r="O147">
        <f>IF(A147="","",IF(ABS(M147-N147)&lt;=1,"OK","CHECK"))</f>
        <v/>
      </c>
      <c r="P147">
        <f>IF(M147="","",IF(F147=0,99,M147/F147))</f>
        <v/>
      </c>
      <c r="Q147" s="2">
        <f>IF(P147="","",IF(COUNTA($P$2:$P$300)&lt;=1,0,PERCENTRANK.INC($P$2:$P$300,P147)))</f>
        <v/>
      </c>
      <c r="R147" s="2">
        <f>IF(A147="","",0.45*H147+0.35*Q147+0.20*J147)</f>
        <v/>
      </c>
      <c r="S147">
        <f>IF(G147="","",IF(G147&lt;=0.33,"Low Movement",IF(G147&lt;=0.66,"Medium Movement","High Movement")))</f>
        <v/>
      </c>
      <c r="T147">
        <f>IF(R147="","",IF(R147&gt;=0.67,"High Value Bundle",IF(R147&gt;=0.34,"Medium Value Bundle","Low Value Bundle")))</f>
        <v/>
      </c>
      <c r="U147">
        <f>IF(A147="","",IF(AND(G147&gt;=0.70,J147&gt;=0.70,M147&gt;0),"Yes","No"))</f>
        <v/>
      </c>
      <c r="V147">
        <f>IF(A147="","",IF(AND(S147="Low Movement",M147&gt;0,P147&gt;=2),"Yes","No"))</f>
        <v/>
      </c>
      <c r="W147" s="2">
        <f>IF(T147="","",MIN(0.12,IF(T147="High Value Bundle",0.05,IF(T147="Medium Value Bundle",0.07,0.10))+IF(P147&gt;=8,0.02,0)))</f>
        <v/>
      </c>
      <c r="X147">
        <f>IF(U147="Yes",C147&amp;"|anchor","")</f>
        <v/>
      </c>
      <c r="Y147">
        <f>IF(U147="Yes",B147,"")</f>
        <v/>
      </c>
    </row>
    <row r="148">
      <c r="A148">
        <f>Input_Data!C148</f>
        <v/>
      </c>
      <c r="B148">
        <f>Input_Data!A148</f>
        <v/>
      </c>
      <c r="C148">
        <f>Input_Data!B148</f>
        <v/>
      </c>
      <c r="D148">
        <f>Input_Data!D148</f>
        <v/>
      </c>
      <c r="E148">
        <f>IF(A148="","",SUM(Input_Data!E148:H148))</f>
        <v/>
      </c>
      <c r="F148">
        <f>IF(E148="","",E148/4)</f>
        <v/>
      </c>
      <c r="G148" s="2">
        <f>IF(E148="","",IF(COUNTA($E$2:$E$300)&lt;=1,0,PERCENTRANK.INC($E$2:$E$300,E148)))</f>
        <v/>
      </c>
      <c r="H148" s="2">
        <f>IF(G148="","",1-G148)</f>
        <v/>
      </c>
      <c r="I148" s="2">
        <f>Input_Data!I148</f>
        <v/>
      </c>
      <c r="J148" s="2">
        <f>IF(I148="","",IF(COUNTA($I$2:$I$300)&lt;=1,0,PERCENTRANK.INC($I$2:$I$300,I148)))</f>
        <v/>
      </c>
      <c r="K148">
        <f>Input_Data!J148</f>
        <v/>
      </c>
      <c r="L148">
        <f>Input_Data!K148</f>
        <v/>
      </c>
      <c r="M148">
        <f>Input_Data!L148</f>
        <v/>
      </c>
      <c r="N148">
        <f>IF(K148="","",K148-L148)</f>
        <v/>
      </c>
      <c r="O148">
        <f>IF(A148="","",IF(ABS(M148-N148)&lt;=1,"OK","CHECK"))</f>
        <v/>
      </c>
      <c r="P148">
        <f>IF(M148="","",IF(F148=0,99,M148/F148))</f>
        <v/>
      </c>
      <c r="Q148" s="2">
        <f>IF(P148="","",IF(COUNTA($P$2:$P$300)&lt;=1,0,PERCENTRANK.INC($P$2:$P$300,P148)))</f>
        <v/>
      </c>
      <c r="R148" s="2">
        <f>IF(A148="","",0.45*H148+0.35*Q148+0.20*J148)</f>
        <v/>
      </c>
      <c r="S148">
        <f>IF(G148="","",IF(G148&lt;=0.33,"Low Movement",IF(G148&lt;=0.66,"Medium Movement","High Movement")))</f>
        <v/>
      </c>
      <c r="T148">
        <f>IF(R148="","",IF(R148&gt;=0.67,"High Value Bundle",IF(R148&gt;=0.34,"Medium Value Bundle","Low Value Bundle")))</f>
        <v/>
      </c>
      <c r="U148">
        <f>IF(A148="","",IF(AND(G148&gt;=0.70,J148&gt;=0.70,M148&gt;0),"Yes","No"))</f>
        <v/>
      </c>
      <c r="V148">
        <f>IF(A148="","",IF(AND(S148="Low Movement",M148&gt;0,P148&gt;=2),"Yes","No"))</f>
        <v/>
      </c>
      <c r="W148" s="2">
        <f>IF(T148="","",MIN(0.12,IF(T148="High Value Bundle",0.05,IF(T148="Medium Value Bundle",0.07,0.10))+IF(P148&gt;=8,0.02,0)))</f>
        <v/>
      </c>
      <c r="X148">
        <f>IF(U148="Yes",C148&amp;"|anchor","")</f>
        <v/>
      </c>
      <c r="Y148">
        <f>IF(U148="Yes",B148,"")</f>
        <v/>
      </c>
    </row>
    <row r="149">
      <c r="A149">
        <f>Input_Data!C149</f>
        <v/>
      </c>
      <c r="B149">
        <f>Input_Data!A149</f>
        <v/>
      </c>
      <c r="C149">
        <f>Input_Data!B149</f>
        <v/>
      </c>
      <c r="D149">
        <f>Input_Data!D149</f>
        <v/>
      </c>
      <c r="E149">
        <f>IF(A149="","",SUM(Input_Data!E149:H149))</f>
        <v/>
      </c>
      <c r="F149">
        <f>IF(E149="","",E149/4)</f>
        <v/>
      </c>
      <c r="G149" s="2">
        <f>IF(E149="","",IF(COUNTA($E$2:$E$300)&lt;=1,0,PERCENTRANK.INC($E$2:$E$300,E149)))</f>
        <v/>
      </c>
      <c r="H149" s="2">
        <f>IF(G149="","",1-G149)</f>
        <v/>
      </c>
      <c r="I149" s="2">
        <f>Input_Data!I149</f>
        <v/>
      </c>
      <c r="J149" s="2">
        <f>IF(I149="","",IF(COUNTA($I$2:$I$300)&lt;=1,0,PERCENTRANK.INC($I$2:$I$300,I149)))</f>
        <v/>
      </c>
      <c r="K149">
        <f>Input_Data!J149</f>
        <v/>
      </c>
      <c r="L149">
        <f>Input_Data!K149</f>
        <v/>
      </c>
      <c r="M149">
        <f>Input_Data!L149</f>
        <v/>
      </c>
      <c r="N149">
        <f>IF(K149="","",K149-L149)</f>
        <v/>
      </c>
      <c r="O149">
        <f>IF(A149="","",IF(ABS(M149-N149)&lt;=1,"OK","CHECK"))</f>
        <v/>
      </c>
      <c r="P149">
        <f>IF(M149="","",IF(F149=0,99,M149/F149))</f>
        <v/>
      </c>
      <c r="Q149" s="2">
        <f>IF(P149="","",IF(COUNTA($P$2:$P$300)&lt;=1,0,PERCENTRANK.INC($P$2:$P$300,P149)))</f>
        <v/>
      </c>
      <c r="R149" s="2">
        <f>IF(A149="","",0.45*H149+0.35*Q149+0.20*J149)</f>
        <v/>
      </c>
      <c r="S149">
        <f>IF(G149="","",IF(G149&lt;=0.33,"Low Movement",IF(G149&lt;=0.66,"Medium Movement","High Movement")))</f>
        <v/>
      </c>
      <c r="T149">
        <f>IF(R149="","",IF(R149&gt;=0.67,"High Value Bundle",IF(R149&gt;=0.34,"Medium Value Bundle","Low Value Bundle")))</f>
        <v/>
      </c>
      <c r="U149">
        <f>IF(A149="","",IF(AND(G149&gt;=0.70,J149&gt;=0.70,M149&gt;0),"Yes","No"))</f>
        <v/>
      </c>
      <c r="V149">
        <f>IF(A149="","",IF(AND(S149="Low Movement",M149&gt;0,P149&gt;=2),"Yes","No"))</f>
        <v/>
      </c>
      <c r="W149" s="2">
        <f>IF(T149="","",MIN(0.12,IF(T149="High Value Bundle",0.05,IF(T149="Medium Value Bundle",0.07,0.10))+IF(P149&gt;=8,0.02,0)))</f>
        <v/>
      </c>
      <c r="X149">
        <f>IF(U149="Yes",C149&amp;"|anchor","")</f>
        <v/>
      </c>
      <c r="Y149">
        <f>IF(U149="Yes",B149,"")</f>
        <v/>
      </c>
    </row>
    <row r="150">
      <c r="A150">
        <f>Input_Data!C150</f>
        <v/>
      </c>
      <c r="B150">
        <f>Input_Data!A150</f>
        <v/>
      </c>
      <c r="C150">
        <f>Input_Data!B150</f>
        <v/>
      </c>
      <c r="D150">
        <f>Input_Data!D150</f>
        <v/>
      </c>
      <c r="E150">
        <f>IF(A150="","",SUM(Input_Data!E150:H150))</f>
        <v/>
      </c>
      <c r="F150">
        <f>IF(E150="","",E150/4)</f>
        <v/>
      </c>
      <c r="G150" s="2">
        <f>IF(E150="","",IF(COUNTA($E$2:$E$300)&lt;=1,0,PERCENTRANK.INC($E$2:$E$300,E150)))</f>
        <v/>
      </c>
      <c r="H150" s="2">
        <f>IF(G150="","",1-G150)</f>
        <v/>
      </c>
      <c r="I150" s="2">
        <f>Input_Data!I150</f>
        <v/>
      </c>
      <c r="J150" s="2">
        <f>IF(I150="","",IF(COUNTA($I$2:$I$300)&lt;=1,0,PERCENTRANK.INC($I$2:$I$300,I150)))</f>
        <v/>
      </c>
      <c r="K150">
        <f>Input_Data!J150</f>
        <v/>
      </c>
      <c r="L150">
        <f>Input_Data!K150</f>
        <v/>
      </c>
      <c r="M150">
        <f>Input_Data!L150</f>
        <v/>
      </c>
      <c r="N150">
        <f>IF(K150="","",K150-L150)</f>
        <v/>
      </c>
      <c r="O150">
        <f>IF(A150="","",IF(ABS(M150-N150)&lt;=1,"OK","CHECK"))</f>
        <v/>
      </c>
      <c r="P150">
        <f>IF(M150="","",IF(F150=0,99,M150/F150))</f>
        <v/>
      </c>
      <c r="Q150" s="2">
        <f>IF(P150="","",IF(COUNTA($P$2:$P$300)&lt;=1,0,PERCENTRANK.INC($P$2:$P$300,P150)))</f>
        <v/>
      </c>
      <c r="R150" s="2">
        <f>IF(A150="","",0.45*H150+0.35*Q150+0.20*J150)</f>
        <v/>
      </c>
      <c r="S150">
        <f>IF(G150="","",IF(G150&lt;=0.33,"Low Movement",IF(G150&lt;=0.66,"Medium Movement","High Movement")))</f>
        <v/>
      </c>
      <c r="T150">
        <f>IF(R150="","",IF(R150&gt;=0.67,"High Value Bundle",IF(R150&gt;=0.34,"Medium Value Bundle","Low Value Bundle")))</f>
        <v/>
      </c>
      <c r="U150">
        <f>IF(A150="","",IF(AND(G150&gt;=0.70,J150&gt;=0.70,M150&gt;0),"Yes","No"))</f>
        <v/>
      </c>
      <c r="V150">
        <f>IF(A150="","",IF(AND(S150="Low Movement",M150&gt;0,P150&gt;=2),"Yes","No"))</f>
        <v/>
      </c>
      <c r="W150" s="2">
        <f>IF(T150="","",MIN(0.12,IF(T150="High Value Bundle",0.05,IF(T150="Medium Value Bundle",0.07,0.10))+IF(P150&gt;=8,0.02,0)))</f>
        <v/>
      </c>
      <c r="X150">
        <f>IF(U150="Yes",C150&amp;"|anchor","")</f>
        <v/>
      </c>
      <c r="Y150">
        <f>IF(U150="Yes",B150,"")</f>
        <v/>
      </c>
    </row>
    <row r="151">
      <c r="A151">
        <f>Input_Data!C151</f>
        <v/>
      </c>
      <c r="B151">
        <f>Input_Data!A151</f>
        <v/>
      </c>
      <c r="C151">
        <f>Input_Data!B151</f>
        <v/>
      </c>
      <c r="D151">
        <f>Input_Data!D151</f>
        <v/>
      </c>
      <c r="E151">
        <f>IF(A151="","",SUM(Input_Data!E151:H151))</f>
        <v/>
      </c>
      <c r="F151">
        <f>IF(E151="","",E151/4)</f>
        <v/>
      </c>
      <c r="G151" s="2">
        <f>IF(E151="","",IF(COUNTA($E$2:$E$300)&lt;=1,0,PERCENTRANK.INC($E$2:$E$300,E151)))</f>
        <v/>
      </c>
      <c r="H151" s="2">
        <f>IF(G151="","",1-G151)</f>
        <v/>
      </c>
      <c r="I151" s="2">
        <f>Input_Data!I151</f>
        <v/>
      </c>
      <c r="J151" s="2">
        <f>IF(I151="","",IF(COUNTA($I$2:$I$300)&lt;=1,0,PERCENTRANK.INC($I$2:$I$300,I151)))</f>
        <v/>
      </c>
      <c r="K151">
        <f>Input_Data!J151</f>
        <v/>
      </c>
      <c r="L151">
        <f>Input_Data!K151</f>
        <v/>
      </c>
      <c r="M151">
        <f>Input_Data!L151</f>
        <v/>
      </c>
      <c r="N151">
        <f>IF(K151="","",K151-L151)</f>
        <v/>
      </c>
      <c r="O151">
        <f>IF(A151="","",IF(ABS(M151-N151)&lt;=1,"OK","CHECK"))</f>
        <v/>
      </c>
      <c r="P151">
        <f>IF(M151="","",IF(F151=0,99,M151/F151))</f>
        <v/>
      </c>
      <c r="Q151" s="2">
        <f>IF(P151="","",IF(COUNTA($P$2:$P$300)&lt;=1,0,PERCENTRANK.INC($P$2:$P$300,P151)))</f>
        <v/>
      </c>
      <c r="R151" s="2">
        <f>IF(A151="","",0.45*H151+0.35*Q151+0.20*J151)</f>
        <v/>
      </c>
      <c r="S151">
        <f>IF(G151="","",IF(G151&lt;=0.33,"Low Movement",IF(G151&lt;=0.66,"Medium Movement","High Movement")))</f>
        <v/>
      </c>
      <c r="T151">
        <f>IF(R151="","",IF(R151&gt;=0.67,"High Value Bundle",IF(R151&gt;=0.34,"Medium Value Bundle","Low Value Bundle")))</f>
        <v/>
      </c>
      <c r="U151">
        <f>IF(A151="","",IF(AND(G151&gt;=0.70,J151&gt;=0.70,M151&gt;0),"Yes","No"))</f>
        <v/>
      </c>
      <c r="V151">
        <f>IF(A151="","",IF(AND(S151="Low Movement",M151&gt;0,P151&gt;=2),"Yes","No"))</f>
        <v/>
      </c>
      <c r="W151" s="2">
        <f>IF(T151="","",MIN(0.12,IF(T151="High Value Bundle",0.05,IF(T151="Medium Value Bundle",0.07,0.10))+IF(P151&gt;=8,0.02,0)))</f>
        <v/>
      </c>
      <c r="X151">
        <f>IF(U151="Yes",C151&amp;"|anchor","")</f>
        <v/>
      </c>
      <c r="Y151">
        <f>IF(U151="Yes",B151,"")</f>
        <v/>
      </c>
    </row>
    <row r="152">
      <c r="A152">
        <f>Input_Data!C152</f>
        <v/>
      </c>
      <c r="B152">
        <f>Input_Data!A152</f>
        <v/>
      </c>
      <c r="C152">
        <f>Input_Data!B152</f>
        <v/>
      </c>
      <c r="D152">
        <f>Input_Data!D152</f>
        <v/>
      </c>
      <c r="E152">
        <f>IF(A152="","",SUM(Input_Data!E152:H152))</f>
        <v/>
      </c>
      <c r="F152">
        <f>IF(E152="","",E152/4)</f>
        <v/>
      </c>
      <c r="G152" s="2">
        <f>IF(E152="","",IF(COUNTA($E$2:$E$300)&lt;=1,0,PERCENTRANK.INC($E$2:$E$300,E152)))</f>
        <v/>
      </c>
      <c r="H152" s="2">
        <f>IF(G152="","",1-G152)</f>
        <v/>
      </c>
      <c r="I152" s="2">
        <f>Input_Data!I152</f>
        <v/>
      </c>
      <c r="J152" s="2">
        <f>IF(I152="","",IF(COUNTA($I$2:$I$300)&lt;=1,0,PERCENTRANK.INC($I$2:$I$300,I152)))</f>
        <v/>
      </c>
      <c r="K152">
        <f>Input_Data!J152</f>
        <v/>
      </c>
      <c r="L152">
        <f>Input_Data!K152</f>
        <v/>
      </c>
      <c r="M152">
        <f>Input_Data!L152</f>
        <v/>
      </c>
      <c r="N152">
        <f>IF(K152="","",K152-L152)</f>
        <v/>
      </c>
      <c r="O152">
        <f>IF(A152="","",IF(ABS(M152-N152)&lt;=1,"OK","CHECK"))</f>
        <v/>
      </c>
      <c r="P152">
        <f>IF(M152="","",IF(F152=0,99,M152/F152))</f>
        <v/>
      </c>
      <c r="Q152" s="2">
        <f>IF(P152="","",IF(COUNTA($P$2:$P$300)&lt;=1,0,PERCENTRANK.INC($P$2:$P$300,P152)))</f>
        <v/>
      </c>
      <c r="R152" s="2">
        <f>IF(A152="","",0.45*H152+0.35*Q152+0.20*J152)</f>
        <v/>
      </c>
      <c r="S152">
        <f>IF(G152="","",IF(G152&lt;=0.33,"Low Movement",IF(G152&lt;=0.66,"Medium Movement","High Movement")))</f>
        <v/>
      </c>
      <c r="T152">
        <f>IF(R152="","",IF(R152&gt;=0.67,"High Value Bundle",IF(R152&gt;=0.34,"Medium Value Bundle","Low Value Bundle")))</f>
        <v/>
      </c>
      <c r="U152">
        <f>IF(A152="","",IF(AND(G152&gt;=0.70,J152&gt;=0.70,M152&gt;0),"Yes","No"))</f>
        <v/>
      </c>
      <c r="V152">
        <f>IF(A152="","",IF(AND(S152="Low Movement",M152&gt;0,P152&gt;=2),"Yes","No"))</f>
        <v/>
      </c>
      <c r="W152" s="2">
        <f>IF(T152="","",MIN(0.12,IF(T152="High Value Bundle",0.05,IF(T152="Medium Value Bundle",0.07,0.10))+IF(P152&gt;=8,0.02,0)))</f>
        <v/>
      </c>
      <c r="X152">
        <f>IF(U152="Yes",C152&amp;"|anchor","")</f>
        <v/>
      </c>
      <c r="Y152">
        <f>IF(U152="Yes",B152,"")</f>
        <v/>
      </c>
    </row>
    <row r="153">
      <c r="A153">
        <f>Input_Data!C153</f>
        <v/>
      </c>
      <c r="B153">
        <f>Input_Data!A153</f>
        <v/>
      </c>
      <c r="C153">
        <f>Input_Data!B153</f>
        <v/>
      </c>
      <c r="D153">
        <f>Input_Data!D153</f>
        <v/>
      </c>
      <c r="E153">
        <f>IF(A153="","",SUM(Input_Data!E153:H153))</f>
        <v/>
      </c>
      <c r="F153">
        <f>IF(E153="","",E153/4)</f>
        <v/>
      </c>
      <c r="G153" s="2">
        <f>IF(E153="","",IF(COUNTA($E$2:$E$300)&lt;=1,0,PERCENTRANK.INC($E$2:$E$300,E153)))</f>
        <v/>
      </c>
      <c r="H153" s="2">
        <f>IF(G153="","",1-G153)</f>
        <v/>
      </c>
      <c r="I153" s="2">
        <f>Input_Data!I153</f>
        <v/>
      </c>
      <c r="J153" s="2">
        <f>IF(I153="","",IF(COUNTA($I$2:$I$300)&lt;=1,0,PERCENTRANK.INC($I$2:$I$300,I153)))</f>
        <v/>
      </c>
      <c r="K153">
        <f>Input_Data!J153</f>
        <v/>
      </c>
      <c r="L153">
        <f>Input_Data!K153</f>
        <v/>
      </c>
      <c r="M153">
        <f>Input_Data!L153</f>
        <v/>
      </c>
      <c r="N153">
        <f>IF(K153="","",K153-L153)</f>
        <v/>
      </c>
      <c r="O153">
        <f>IF(A153="","",IF(ABS(M153-N153)&lt;=1,"OK","CHECK"))</f>
        <v/>
      </c>
      <c r="P153">
        <f>IF(M153="","",IF(F153=0,99,M153/F153))</f>
        <v/>
      </c>
      <c r="Q153" s="2">
        <f>IF(P153="","",IF(COUNTA($P$2:$P$300)&lt;=1,0,PERCENTRANK.INC($P$2:$P$300,P153)))</f>
        <v/>
      </c>
      <c r="R153" s="2">
        <f>IF(A153="","",0.45*H153+0.35*Q153+0.20*J153)</f>
        <v/>
      </c>
      <c r="S153">
        <f>IF(G153="","",IF(G153&lt;=0.33,"Low Movement",IF(G153&lt;=0.66,"Medium Movement","High Movement")))</f>
        <v/>
      </c>
      <c r="T153">
        <f>IF(R153="","",IF(R153&gt;=0.67,"High Value Bundle",IF(R153&gt;=0.34,"Medium Value Bundle","Low Value Bundle")))</f>
        <v/>
      </c>
      <c r="U153">
        <f>IF(A153="","",IF(AND(G153&gt;=0.70,J153&gt;=0.70,M153&gt;0),"Yes","No"))</f>
        <v/>
      </c>
      <c r="V153">
        <f>IF(A153="","",IF(AND(S153="Low Movement",M153&gt;0,P153&gt;=2),"Yes","No"))</f>
        <v/>
      </c>
      <c r="W153" s="2">
        <f>IF(T153="","",MIN(0.12,IF(T153="High Value Bundle",0.05,IF(T153="Medium Value Bundle",0.07,0.10))+IF(P153&gt;=8,0.02,0)))</f>
        <v/>
      </c>
      <c r="X153">
        <f>IF(U153="Yes",C153&amp;"|anchor","")</f>
        <v/>
      </c>
      <c r="Y153">
        <f>IF(U153="Yes",B153,"")</f>
        <v/>
      </c>
    </row>
    <row r="154">
      <c r="A154">
        <f>Input_Data!C154</f>
        <v/>
      </c>
      <c r="B154">
        <f>Input_Data!A154</f>
        <v/>
      </c>
      <c r="C154">
        <f>Input_Data!B154</f>
        <v/>
      </c>
      <c r="D154">
        <f>Input_Data!D154</f>
        <v/>
      </c>
      <c r="E154">
        <f>IF(A154="","",SUM(Input_Data!E154:H154))</f>
        <v/>
      </c>
      <c r="F154">
        <f>IF(E154="","",E154/4)</f>
        <v/>
      </c>
      <c r="G154" s="2">
        <f>IF(E154="","",IF(COUNTA($E$2:$E$300)&lt;=1,0,PERCENTRANK.INC($E$2:$E$300,E154)))</f>
        <v/>
      </c>
      <c r="H154" s="2">
        <f>IF(G154="","",1-G154)</f>
        <v/>
      </c>
      <c r="I154" s="2">
        <f>Input_Data!I154</f>
        <v/>
      </c>
      <c r="J154" s="2">
        <f>IF(I154="","",IF(COUNTA($I$2:$I$300)&lt;=1,0,PERCENTRANK.INC($I$2:$I$300,I154)))</f>
        <v/>
      </c>
      <c r="K154">
        <f>Input_Data!J154</f>
        <v/>
      </c>
      <c r="L154">
        <f>Input_Data!K154</f>
        <v/>
      </c>
      <c r="M154">
        <f>Input_Data!L154</f>
        <v/>
      </c>
      <c r="N154">
        <f>IF(K154="","",K154-L154)</f>
        <v/>
      </c>
      <c r="O154">
        <f>IF(A154="","",IF(ABS(M154-N154)&lt;=1,"OK","CHECK"))</f>
        <v/>
      </c>
      <c r="P154">
        <f>IF(M154="","",IF(F154=0,99,M154/F154))</f>
        <v/>
      </c>
      <c r="Q154" s="2">
        <f>IF(P154="","",IF(COUNTA($P$2:$P$300)&lt;=1,0,PERCENTRANK.INC($P$2:$P$300,P154)))</f>
        <v/>
      </c>
      <c r="R154" s="2">
        <f>IF(A154="","",0.45*H154+0.35*Q154+0.20*J154)</f>
        <v/>
      </c>
      <c r="S154">
        <f>IF(G154="","",IF(G154&lt;=0.33,"Low Movement",IF(G154&lt;=0.66,"Medium Movement","High Movement")))</f>
        <v/>
      </c>
      <c r="T154">
        <f>IF(R154="","",IF(R154&gt;=0.67,"High Value Bundle",IF(R154&gt;=0.34,"Medium Value Bundle","Low Value Bundle")))</f>
        <v/>
      </c>
      <c r="U154">
        <f>IF(A154="","",IF(AND(G154&gt;=0.70,J154&gt;=0.70,M154&gt;0),"Yes","No"))</f>
        <v/>
      </c>
      <c r="V154">
        <f>IF(A154="","",IF(AND(S154="Low Movement",M154&gt;0,P154&gt;=2),"Yes","No"))</f>
        <v/>
      </c>
      <c r="W154" s="2">
        <f>IF(T154="","",MIN(0.12,IF(T154="High Value Bundle",0.05,IF(T154="Medium Value Bundle",0.07,0.10))+IF(P154&gt;=8,0.02,0)))</f>
        <v/>
      </c>
      <c r="X154">
        <f>IF(U154="Yes",C154&amp;"|anchor","")</f>
        <v/>
      </c>
      <c r="Y154">
        <f>IF(U154="Yes",B154,"")</f>
        <v/>
      </c>
    </row>
    <row r="155">
      <c r="A155">
        <f>Input_Data!C155</f>
        <v/>
      </c>
      <c r="B155">
        <f>Input_Data!A155</f>
        <v/>
      </c>
      <c r="C155">
        <f>Input_Data!B155</f>
        <v/>
      </c>
      <c r="D155">
        <f>Input_Data!D155</f>
        <v/>
      </c>
      <c r="E155">
        <f>IF(A155="","",SUM(Input_Data!E155:H155))</f>
        <v/>
      </c>
      <c r="F155">
        <f>IF(E155="","",E155/4)</f>
        <v/>
      </c>
      <c r="G155" s="2">
        <f>IF(E155="","",IF(COUNTA($E$2:$E$300)&lt;=1,0,PERCENTRANK.INC($E$2:$E$300,E155)))</f>
        <v/>
      </c>
      <c r="H155" s="2">
        <f>IF(G155="","",1-G155)</f>
        <v/>
      </c>
      <c r="I155" s="2">
        <f>Input_Data!I155</f>
        <v/>
      </c>
      <c r="J155" s="2">
        <f>IF(I155="","",IF(COUNTA($I$2:$I$300)&lt;=1,0,PERCENTRANK.INC($I$2:$I$300,I155)))</f>
        <v/>
      </c>
      <c r="K155">
        <f>Input_Data!J155</f>
        <v/>
      </c>
      <c r="L155">
        <f>Input_Data!K155</f>
        <v/>
      </c>
      <c r="M155">
        <f>Input_Data!L155</f>
        <v/>
      </c>
      <c r="N155">
        <f>IF(K155="","",K155-L155)</f>
        <v/>
      </c>
      <c r="O155">
        <f>IF(A155="","",IF(ABS(M155-N155)&lt;=1,"OK","CHECK"))</f>
        <v/>
      </c>
      <c r="P155">
        <f>IF(M155="","",IF(F155=0,99,M155/F155))</f>
        <v/>
      </c>
      <c r="Q155" s="2">
        <f>IF(P155="","",IF(COUNTA($P$2:$P$300)&lt;=1,0,PERCENTRANK.INC($P$2:$P$300,P155)))</f>
        <v/>
      </c>
      <c r="R155" s="2">
        <f>IF(A155="","",0.45*H155+0.35*Q155+0.20*J155)</f>
        <v/>
      </c>
      <c r="S155">
        <f>IF(G155="","",IF(G155&lt;=0.33,"Low Movement",IF(G155&lt;=0.66,"Medium Movement","High Movement")))</f>
        <v/>
      </c>
      <c r="T155">
        <f>IF(R155="","",IF(R155&gt;=0.67,"High Value Bundle",IF(R155&gt;=0.34,"Medium Value Bundle","Low Value Bundle")))</f>
        <v/>
      </c>
      <c r="U155">
        <f>IF(A155="","",IF(AND(G155&gt;=0.70,J155&gt;=0.70,M155&gt;0),"Yes","No"))</f>
        <v/>
      </c>
      <c r="V155">
        <f>IF(A155="","",IF(AND(S155="Low Movement",M155&gt;0,P155&gt;=2),"Yes","No"))</f>
        <v/>
      </c>
      <c r="W155" s="2">
        <f>IF(T155="","",MIN(0.12,IF(T155="High Value Bundle",0.05,IF(T155="Medium Value Bundle",0.07,0.10))+IF(P155&gt;=8,0.02,0)))</f>
        <v/>
      </c>
      <c r="X155">
        <f>IF(U155="Yes",C155&amp;"|anchor","")</f>
        <v/>
      </c>
      <c r="Y155">
        <f>IF(U155="Yes",B155,"")</f>
        <v/>
      </c>
    </row>
    <row r="156">
      <c r="A156">
        <f>Input_Data!C156</f>
        <v/>
      </c>
      <c r="B156">
        <f>Input_Data!A156</f>
        <v/>
      </c>
      <c r="C156">
        <f>Input_Data!B156</f>
        <v/>
      </c>
      <c r="D156">
        <f>Input_Data!D156</f>
        <v/>
      </c>
      <c r="E156">
        <f>IF(A156="","",SUM(Input_Data!E156:H156))</f>
        <v/>
      </c>
      <c r="F156">
        <f>IF(E156="","",E156/4)</f>
        <v/>
      </c>
      <c r="G156" s="2">
        <f>IF(E156="","",IF(COUNTA($E$2:$E$300)&lt;=1,0,PERCENTRANK.INC($E$2:$E$300,E156)))</f>
        <v/>
      </c>
      <c r="H156" s="2">
        <f>IF(G156="","",1-G156)</f>
        <v/>
      </c>
      <c r="I156" s="2">
        <f>Input_Data!I156</f>
        <v/>
      </c>
      <c r="J156" s="2">
        <f>IF(I156="","",IF(COUNTA($I$2:$I$300)&lt;=1,0,PERCENTRANK.INC($I$2:$I$300,I156)))</f>
        <v/>
      </c>
      <c r="K156">
        <f>Input_Data!J156</f>
        <v/>
      </c>
      <c r="L156">
        <f>Input_Data!K156</f>
        <v/>
      </c>
      <c r="M156">
        <f>Input_Data!L156</f>
        <v/>
      </c>
      <c r="N156">
        <f>IF(K156="","",K156-L156)</f>
        <v/>
      </c>
      <c r="O156">
        <f>IF(A156="","",IF(ABS(M156-N156)&lt;=1,"OK","CHECK"))</f>
        <v/>
      </c>
      <c r="P156">
        <f>IF(M156="","",IF(F156=0,99,M156/F156))</f>
        <v/>
      </c>
      <c r="Q156" s="2">
        <f>IF(P156="","",IF(COUNTA($P$2:$P$300)&lt;=1,0,PERCENTRANK.INC($P$2:$P$300,P156)))</f>
        <v/>
      </c>
      <c r="R156" s="2">
        <f>IF(A156="","",0.45*H156+0.35*Q156+0.20*J156)</f>
        <v/>
      </c>
      <c r="S156">
        <f>IF(G156="","",IF(G156&lt;=0.33,"Low Movement",IF(G156&lt;=0.66,"Medium Movement","High Movement")))</f>
        <v/>
      </c>
      <c r="T156">
        <f>IF(R156="","",IF(R156&gt;=0.67,"High Value Bundle",IF(R156&gt;=0.34,"Medium Value Bundle","Low Value Bundle")))</f>
        <v/>
      </c>
      <c r="U156">
        <f>IF(A156="","",IF(AND(G156&gt;=0.70,J156&gt;=0.70,M156&gt;0),"Yes","No"))</f>
        <v/>
      </c>
      <c r="V156">
        <f>IF(A156="","",IF(AND(S156="Low Movement",M156&gt;0,P156&gt;=2),"Yes","No"))</f>
        <v/>
      </c>
      <c r="W156" s="2">
        <f>IF(T156="","",MIN(0.12,IF(T156="High Value Bundle",0.05,IF(T156="Medium Value Bundle",0.07,0.10))+IF(P156&gt;=8,0.02,0)))</f>
        <v/>
      </c>
      <c r="X156">
        <f>IF(U156="Yes",C156&amp;"|anchor","")</f>
        <v/>
      </c>
      <c r="Y156">
        <f>IF(U156="Yes",B156,"")</f>
        <v/>
      </c>
    </row>
    <row r="157">
      <c r="A157">
        <f>Input_Data!C157</f>
        <v/>
      </c>
      <c r="B157">
        <f>Input_Data!A157</f>
        <v/>
      </c>
      <c r="C157">
        <f>Input_Data!B157</f>
        <v/>
      </c>
      <c r="D157">
        <f>Input_Data!D157</f>
        <v/>
      </c>
      <c r="E157">
        <f>IF(A157="","",SUM(Input_Data!E157:H157))</f>
        <v/>
      </c>
      <c r="F157">
        <f>IF(E157="","",E157/4)</f>
        <v/>
      </c>
      <c r="G157" s="2">
        <f>IF(E157="","",IF(COUNTA($E$2:$E$300)&lt;=1,0,PERCENTRANK.INC($E$2:$E$300,E157)))</f>
        <v/>
      </c>
      <c r="H157" s="2">
        <f>IF(G157="","",1-G157)</f>
        <v/>
      </c>
      <c r="I157" s="2">
        <f>Input_Data!I157</f>
        <v/>
      </c>
      <c r="J157" s="2">
        <f>IF(I157="","",IF(COUNTA($I$2:$I$300)&lt;=1,0,PERCENTRANK.INC($I$2:$I$300,I157)))</f>
        <v/>
      </c>
      <c r="K157">
        <f>Input_Data!J157</f>
        <v/>
      </c>
      <c r="L157">
        <f>Input_Data!K157</f>
        <v/>
      </c>
      <c r="M157">
        <f>Input_Data!L157</f>
        <v/>
      </c>
      <c r="N157">
        <f>IF(K157="","",K157-L157)</f>
        <v/>
      </c>
      <c r="O157">
        <f>IF(A157="","",IF(ABS(M157-N157)&lt;=1,"OK","CHECK"))</f>
        <v/>
      </c>
      <c r="P157">
        <f>IF(M157="","",IF(F157=0,99,M157/F157))</f>
        <v/>
      </c>
      <c r="Q157" s="2">
        <f>IF(P157="","",IF(COUNTA($P$2:$P$300)&lt;=1,0,PERCENTRANK.INC($P$2:$P$300,P157)))</f>
        <v/>
      </c>
      <c r="R157" s="2">
        <f>IF(A157="","",0.45*H157+0.35*Q157+0.20*J157)</f>
        <v/>
      </c>
      <c r="S157">
        <f>IF(G157="","",IF(G157&lt;=0.33,"Low Movement",IF(G157&lt;=0.66,"Medium Movement","High Movement")))</f>
        <v/>
      </c>
      <c r="T157">
        <f>IF(R157="","",IF(R157&gt;=0.67,"High Value Bundle",IF(R157&gt;=0.34,"Medium Value Bundle","Low Value Bundle")))</f>
        <v/>
      </c>
      <c r="U157">
        <f>IF(A157="","",IF(AND(G157&gt;=0.70,J157&gt;=0.70,M157&gt;0),"Yes","No"))</f>
        <v/>
      </c>
      <c r="V157">
        <f>IF(A157="","",IF(AND(S157="Low Movement",M157&gt;0,P157&gt;=2),"Yes","No"))</f>
        <v/>
      </c>
      <c r="W157" s="2">
        <f>IF(T157="","",MIN(0.12,IF(T157="High Value Bundle",0.05,IF(T157="Medium Value Bundle",0.07,0.10))+IF(P157&gt;=8,0.02,0)))</f>
        <v/>
      </c>
      <c r="X157">
        <f>IF(U157="Yes",C157&amp;"|anchor","")</f>
        <v/>
      </c>
      <c r="Y157">
        <f>IF(U157="Yes",B157,"")</f>
        <v/>
      </c>
    </row>
    <row r="158">
      <c r="A158">
        <f>Input_Data!C158</f>
        <v/>
      </c>
      <c r="B158">
        <f>Input_Data!A158</f>
        <v/>
      </c>
      <c r="C158">
        <f>Input_Data!B158</f>
        <v/>
      </c>
      <c r="D158">
        <f>Input_Data!D158</f>
        <v/>
      </c>
      <c r="E158">
        <f>IF(A158="","",SUM(Input_Data!E158:H158))</f>
        <v/>
      </c>
      <c r="F158">
        <f>IF(E158="","",E158/4)</f>
        <v/>
      </c>
      <c r="G158" s="2">
        <f>IF(E158="","",IF(COUNTA($E$2:$E$300)&lt;=1,0,PERCENTRANK.INC($E$2:$E$300,E158)))</f>
        <v/>
      </c>
      <c r="H158" s="2">
        <f>IF(G158="","",1-G158)</f>
        <v/>
      </c>
      <c r="I158" s="2">
        <f>Input_Data!I158</f>
        <v/>
      </c>
      <c r="J158" s="2">
        <f>IF(I158="","",IF(COUNTA($I$2:$I$300)&lt;=1,0,PERCENTRANK.INC($I$2:$I$300,I158)))</f>
        <v/>
      </c>
      <c r="K158">
        <f>Input_Data!J158</f>
        <v/>
      </c>
      <c r="L158">
        <f>Input_Data!K158</f>
        <v/>
      </c>
      <c r="M158">
        <f>Input_Data!L158</f>
        <v/>
      </c>
      <c r="N158">
        <f>IF(K158="","",K158-L158)</f>
        <v/>
      </c>
      <c r="O158">
        <f>IF(A158="","",IF(ABS(M158-N158)&lt;=1,"OK","CHECK"))</f>
        <v/>
      </c>
      <c r="P158">
        <f>IF(M158="","",IF(F158=0,99,M158/F158))</f>
        <v/>
      </c>
      <c r="Q158" s="2">
        <f>IF(P158="","",IF(COUNTA($P$2:$P$300)&lt;=1,0,PERCENTRANK.INC($P$2:$P$300,P158)))</f>
        <v/>
      </c>
      <c r="R158" s="2">
        <f>IF(A158="","",0.45*H158+0.35*Q158+0.20*J158)</f>
        <v/>
      </c>
      <c r="S158">
        <f>IF(G158="","",IF(G158&lt;=0.33,"Low Movement",IF(G158&lt;=0.66,"Medium Movement","High Movement")))</f>
        <v/>
      </c>
      <c r="T158">
        <f>IF(R158="","",IF(R158&gt;=0.67,"High Value Bundle",IF(R158&gt;=0.34,"Medium Value Bundle","Low Value Bundle")))</f>
        <v/>
      </c>
      <c r="U158">
        <f>IF(A158="","",IF(AND(G158&gt;=0.70,J158&gt;=0.70,M158&gt;0),"Yes","No"))</f>
        <v/>
      </c>
      <c r="V158">
        <f>IF(A158="","",IF(AND(S158="Low Movement",M158&gt;0,P158&gt;=2),"Yes","No"))</f>
        <v/>
      </c>
      <c r="W158" s="2">
        <f>IF(T158="","",MIN(0.12,IF(T158="High Value Bundle",0.05,IF(T158="Medium Value Bundle",0.07,0.10))+IF(P158&gt;=8,0.02,0)))</f>
        <v/>
      </c>
      <c r="X158">
        <f>IF(U158="Yes",C158&amp;"|anchor","")</f>
        <v/>
      </c>
      <c r="Y158">
        <f>IF(U158="Yes",B158,"")</f>
        <v/>
      </c>
    </row>
    <row r="159">
      <c r="A159">
        <f>Input_Data!C159</f>
        <v/>
      </c>
      <c r="B159">
        <f>Input_Data!A159</f>
        <v/>
      </c>
      <c r="C159">
        <f>Input_Data!B159</f>
        <v/>
      </c>
      <c r="D159">
        <f>Input_Data!D159</f>
        <v/>
      </c>
      <c r="E159">
        <f>IF(A159="","",SUM(Input_Data!E159:H159))</f>
        <v/>
      </c>
      <c r="F159">
        <f>IF(E159="","",E159/4)</f>
        <v/>
      </c>
      <c r="G159" s="2">
        <f>IF(E159="","",IF(COUNTA($E$2:$E$300)&lt;=1,0,PERCENTRANK.INC($E$2:$E$300,E159)))</f>
        <v/>
      </c>
      <c r="H159" s="2">
        <f>IF(G159="","",1-G159)</f>
        <v/>
      </c>
      <c r="I159" s="2">
        <f>Input_Data!I159</f>
        <v/>
      </c>
      <c r="J159" s="2">
        <f>IF(I159="","",IF(COUNTA($I$2:$I$300)&lt;=1,0,PERCENTRANK.INC($I$2:$I$300,I159)))</f>
        <v/>
      </c>
      <c r="K159">
        <f>Input_Data!J159</f>
        <v/>
      </c>
      <c r="L159">
        <f>Input_Data!K159</f>
        <v/>
      </c>
      <c r="M159">
        <f>Input_Data!L159</f>
        <v/>
      </c>
      <c r="N159">
        <f>IF(K159="","",K159-L159)</f>
        <v/>
      </c>
      <c r="O159">
        <f>IF(A159="","",IF(ABS(M159-N159)&lt;=1,"OK","CHECK"))</f>
        <v/>
      </c>
      <c r="P159">
        <f>IF(M159="","",IF(F159=0,99,M159/F159))</f>
        <v/>
      </c>
      <c r="Q159" s="2">
        <f>IF(P159="","",IF(COUNTA($P$2:$P$300)&lt;=1,0,PERCENTRANK.INC($P$2:$P$300,P159)))</f>
        <v/>
      </c>
      <c r="R159" s="2">
        <f>IF(A159="","",0.45*H159+0.35*Q159+0.20*J159)</f>
        <v/>
      </c>
      <c r="S159">
        <f>IF(G159="","",IF(G159&lt;=0.33,"Low Movement",IF(G159&lt;=0.66,"Medium Movement","High Movement")))</f>
        <v/>
      </c>
      <c r="T159">
        <f>IF(R159="","",IF(R159&gt;=0.67,"High Value Bundle",IF(R159&gt;=0.34,"Medium Value Bundle","Low Value Bundle")))</f>
        <v/>
      </c>
      <c r="U159">
        <f>IF(A159="","",IF(AND(G159&gt;=0.70,J159&gt;=0.70,M159&gt;0),"Yes","No"))</f>
        <v/>
      </c>
      <c r="V159">
        <f>IF(A159="","",IF(AND(S159="Low Movement",M159&gt;0,P159&gt;=2),"Yes","No"))</f>
        <v/>
      </c>
      <c r="W159" s="2">
        <f>IF(T159="","",MIN(0.12,IF(T159="High Value Bundle",0.05,IF(T159="Medium Value Bundle",0.07,0.10))+IF(P159&gt;=8,0.02,0)))</f>
        <v/>
      </c>
      <c r="X159">
        <f>IF(U159="Yes",C159&amp;"|anchor","")</f>
        <v/>
      </c>
      <c r="Y159">
        <f>IF(U159="Yes",B159,"")</f>
        <v/>
      </c>
    </row>
    <row r="160">
      <c r="A160">
        <f>Input_Data!C160</f>
        <v/>
      </c>
      <c r="B160">
        <f>Input_Data!A160</f>
        <v/>
      </c>
      <c r="C160">
        <f>Input_Data!B160</f>
        <v/>
      </c>
      <c r="D160">
        <f>Input_Data!D160</f>
        <v/>
      </c>
      <c r="E160">
        <f>IF(A160="","",SUM(Input_Data!E160:H160))</f>
        <v/>
      </c>
      <c r="F160">
        <f>IF(E160="","",E160/4)</f>
        <v/>
      </c>
      <c r="G160" s="2">
        <f>IF(E160="","",IF(COUNTA($E$2:$E$300)&lt;=1,0,PERCENTRANK.INC($E$2:$E$300,E160)))</f>
        <v/>
      </c>
      <c r="H160" s="2">
        <f>IF(G160="","",1-G160)</f>
        <v/>
      </c>
      <c r="I160" s="2">
        <f>Input_Data!I160</f>
        <v/>
      </c>
      <c r="J160" s="2">
        <f>IF(I160="","",IF(COUNTA($I$2:$I$300)&lt;=1,0,PERCENTRANK.INC($I$2:$I$300,I160)))</f>
        <v/>
      </c>
      <c r="K160">
        <f>Input_Data!J160</f>
        <v/>
      </c>
      <c r="L160">
        <f>Input_Data!K160</f>
        <v/>
      </c>
      <c r="M160">
        <f>Input_Data!L160</f>
        <v/>
      </c>
      <c r="N160">
        <f>IF(K160="","",K160-L160)</f>
        <v/>
      </c>
      <c r="O160">
        <f>IF(A160="","",IF(ABS(M160-N160)&lt;=1,"OK","CHECK"))</f>
        <v/>
      </c>
      <c r="P160">
        <f>IF(M160="","",IF(F160=0,99,M160/F160))</f>
        <v/>
      </c>
      <c r="Q160" s="2">
        <f>IF(P160="","",IF(COUNTA($P$2:$P$300)&lt;=1,0,PERCENTRANK.INC($P$2:$P$300,P160)))</f>
        <v/>
      </c>
      <c r="R160" s="2">
        <f>IF(A160="","",0.45*H160+0.35*Q160+0.20*J160)</f>
        <v/>
      </c>
      <c r="S160">
        <f>IF(G160="","",IF(G160&lt;=0.33,"Low Movement",IF(G160&lt;=0.66,"Medium Movement","High Movement")))</f>
        <v/>
      </c>
      <c r="T160">
        <f>IF(R160="","",IF(R160&gt;=0.67,"High Value Bundle",IF(R160&gt;=0.34,"Medium Value Bundle","Low Value Bundle")))</f>
        <v/>
      </c>
      <c r="U160">
        <f>IF(A160="","",IF(AND(G160&gt;=0.70,J160&gt;=0.70,M160&gt;0),"Yes","No"))</f>
        <v/>
      </c>
      <c r="V160">
        <f>IF(A160="","",IF(AND(S160="Low Movement",M160&gt;0,P160&gt;=2),"Yes","No"))</f>
        <v/>
      </c>
      <c r="W160" s="2">
        <f>IF(T160="","",MIN(0.12,IF(T160="High Value Bundle",0.05,IF(T160="Medium Value Bundle",0.07,0.10))+IF(P160&gt;=8,0.02,0)))</f>
        <v/>
      </c>
      <c r="X160">
        <f>IF(U160="Yes",C160&amp;"|anchor","")</f>
        <v/>
      </c>
      <c r="Y160">
        <f>IF(U160="Yes",B160,"")</f>
        <v/>
      </c>
    </row>
    <row r="161">
      <c r="A161">
        <f>Input_Data!C161</f>
        <v/>
      </c>
      <c r="B161">
        <f>Input_Data!A161</f>
        <v/>
      </c>
      <c r="C161">
        <f>Input_Data!B161</f>
        <v/>
      </c>
      <c r="D161">
        <f>Input_Data!D161</f>
        <v/>
      </c>
      <c r="E161">
        <f>IF(A161="","",SUM(Input_Data!E161:H161))</f>
        <v/>
      </c>
      <c r="F161">
        <f>IF(E161="","",E161/4)</f>
        <v/>
      </c>
      <c r="G161" s="2">
        <f>IF(E161="","",IF(COUNTA($E$2:$E$300)&lt;=1,0,PERCENTRANK.INC($E$2:$E$300,E161)))</f>
        <v/>
      </c>
      <c r="H161" s="2">
        <f>IF(G161="","",1-G161)</f>
        <v/>
      </c>
      <c r="I161" s="2">
        <f>Input_Data!I161</f>
        <v/>
      </c>
      <c r="J161" s="2">
        <f>IF(I161="","",IF(COUNTA($I$2:$I$300)&lt;=1,0,PERCENTRANK.INC($I$2:$I$300,I161)))</f>
        <v/>
      </c>
      <c r="K161">
        <f>Input_Data!J161</f>
        <v/>
      </c>
      <c r="L161">
        <f>Input_Data!K161</f>
        <v/>
      </c>
      <c r="M161">
        <f>Input_Data!L161</f>
        <v/>
      </c>
      <c r="N161">
        <f>IF(K161="","",K161-L161)</f>
        <v/>
      </c>
      <c r="O161">
        <f>IF(A161="","",IF(ABS(M161-N161)&lt;=1,"OK","CHECK"))</f>
        <v/>
      </c>
      <c r="P161">
        <f>IF(M161="","",IF(F161=0,99,M161/F161))</f>
        <v/>
      </c>
      <c r="Q161" s="2">
        <f>IF(P161="","",IF(COUNTA($P$2:$P$300)&lt;=1,0,PERCENTRANK.INC($P$2:$P$300,P161)))</f>
        <v/>
      </c>
      <c r="R161" s="2">
        <f>IF(A161="","",0.45*H161+0.35*Q161+0.20*J161)</f>
        <v/>
      </c>
      <c r="S161">
        <f>IF(G161="","",IF(G161&lt;=0.33,"Low Movement",IF(G161&lt;=0.66,"Medium Movement","High Movement")))</f>
        <v/>
      </c>
      <c r="T161">
        <f>IF(R161="","",IF(R161&gt;=0.67,"High Value Bundle",IF(R161&gt;=0.34,"Medium Value Bundle","Low Value Bundle")))</f>
        <v/>
      </c>
      <c r="U161">
        <f>IF(A161="","",IF(AND(G161&gt;=0.70,J161&gt;=0.70,M161&gt;0),"Yes","No"))</f>
        <v/>
      </c>
      <c r="V161">
        <f>IF(A161="","",IF(AND(S161="Low Movement",M161&gt;0,P161&gt;=2),"Yes","No"))</f>
        <v/>
      </c>
      <c r="W161" s="2">
        <f>IF(T161="","",MIN(0.12,IF(T161="High Value Bundle",0.05,IF(T161="Medium Value Bundle",0.07,0.10))+IF(P161&gt;=8,0.02,0)))</f>
        <v/>
      </c>
      <c r="X161">
        <f>IF(U161="Yes",C161&amp;"|anchor","")</f>
        <v/>
      </c>
      <c r="Y161">
        <f>IF(U161="Yes",B161,"")</f>
        <v/>
      </c>
    </row>
    <row r="162">
      <c r="A162">
        <f>Input_Data!C162</f>
        <v/>
      </c>
      <c r="B162">
        <f>Input_Data!A162</f>
        <v/>
      </c>
      <c r="C162">
        <f>Input_Data!B162</f>
        <v/>
      </c>
      <c r="D162">
        <f>Input_Data!D162</f>
        <v/>
      </c>
      <c r="E162">
        <f>IF(A162="","",SUM(Input_Data!E162:H162))</f>
        <v/>
      </c>
      <c r="F162">
        <f>IF(E162="","",E162/4)</f>
        <v/>
      </c>
      <c r="G162" s="2">
        <f>IF(E162="","",IF(COUNTA($E$2:$E$300)&lt;=1,0,PERCENTRANK.INC($E$2:$E$300,E162)))</f>
        <v/>
      </c>
      <c r="H162" s="2">
        <f>IF(G162="","",1-G162)</f>
        <v/>
      </c>
      <c r="I162" s="2">
        <f>Input_Data!I162</f>
        <v/>
      </c>
      <c r="J162" s="2">
        <f>IF(I162="","",IF(COUNTA($I$2:$I$300)&lt;=1,0,PERCENTRANK.INC($I$2:$I$300,I162)))</f>
        <v/>
      </c>
      <c r="K162">
        <f>Input_Data!J162</f>
        <v/>
      </c>
      <c r="L162">
        <f>Input_Data!K162</f>
        <v/>
      </c>
      <c r="M162">
        <f>Input_Data!L162</f>
        <v/>
      </c>
      <c r="N162">
        <f>IF(K162="","",K162-L162)</f>
        <v/>
      </c>
      <c r="O162">
        <f>IF(A162="","",IF(ABS(M162-N162)&lt;=1,"OK","CHECK"))</f>
        <v/>
      </c>
      <c r="P162">
        <f>IF(M162="","",IF(F162=0,99,M162/F162))</f>
        <v/>
      </c>
      <c r="Q162" s="2">
        <f>IF(P162="","",IF(COUNTA($P$2:$P$300)&lt;=1,0,PERCENTRANK.INC($P$2:$P$300,P162)))</f>
        <v/>
      </c>
      <c r="R162" s="2">
        <f>IF(A162="","",0.45*H162+0.35*Q162+0.20*J162)</f>
        <v/>
      </c>
      <c r="S162">
        <f>IF(G162="","",IF(G162&lt;=0.33,"Low Movement",IF(G162&lt;=0.66,"Medium Movement","High Movement")))</f>
        <v/>
      </c>
      <c r="T162">
        <f>IF(R162="","",IF(R162&gt;=0.67,"High Value Bundle",IF(R162&gt;=0.34,"Medium Value Bundle","Low Value Bundle")))</f>
        <v/>
      </c>
      <c r="U162">
        <f>IF(A162="","",IF(AND(G162&gt;=0.70,J162&gt;=0.70,M162&gt;0),"Yes","No"))</f>
        <v/>
      </c>
      <c r="V162">
        <f>IF(A162="","",IF(AND(S162="Low Movement",M162&gt;0,P162&gt;=2),"Yes","No"))</f>
        <v/>
      </c>
      <c r="W162" s="2">
        <f>IF(T162="","",MIN(0.12,IF(T162="High Value Bundle",0.05,IF(T162="Medium Value Bundle",0.07,0.10))+IF(P162&gt;=8,0.02,0)))</f>
        <v/>
      </c>
      <c r="X162">
        <f>IF(U162="Yes",C162&amp;"|anchor","")</f>
        <v/>
      </c>
      <c r="Y162">
        <f>IF(U162="Yes",B162,"")</f>
        <v/>
      </c>
    </row>
    <row r="163">
      <c r="A163">
        <f>Input_Data!C163</f>
        <v/>
      </c>
      <c r="B163">
        <f>Input_Data!A163</f>
        <v/>
      </c>
      <c r="C163">
        <f>Input_Data!B163</f>
        <v/>
      </c>
      <c r="D163">
        <f>Input_Data!D163</f>
        <v/>
      </c>
      <c r="E163">
        <f>IF(A163="","",SUM(Input_Data!E163:H163))</f>
        <v/>
      </c>
      <c r="F163">
        <f>IF(E163="","",E163/4)</f>
        <v/>
      </c>
      <c r="G163" s="2">
        <f>IF(E163="","",IF(COUNTA($E$2:$E$300)&lt;=1,0,PERCENTRANK.INC($E$2:$E$300,E163)))</f>
        <v/>
      </c>
      <c r="H163" s="2">
        <f>IF(G163="","",1-G163)</f>
        <v/>
      </c>
      <c r="I163" s="2">
        <f>Input_Data!I163</f>
        <v/>
      </c>
      <c r="J163" s="2">
        <f>IF(I163="","",IF(COUNTA($I$2:$I$300)&lt;=1,0,PERCENTRANK.INC($I$2:$I$300,I163)))</f>
        <v/>
      </c>
      <c r="K163">
        <f>Input_Data!J163</f>
        <v/>
      </c>
      <c r="L163">
        <f>Input_Data!K163</f>
        <v/>
      </c>
      <c r="M163">
        <f>Input_Data!L163</f>
        <v/>
      </c>
      <c r="N163">
        <f>IF(K163="","",K163-L163)</f>
        <v/>
      </c>
      <c r="O163">
        <f>IF(A163="","",IF(ABS(M163-N163)&lt;=1,"OK","CHECK"))</f>
        <v/>
      </c>
      <c r="P163">
        <f>IF(M163="","",IF(F163=0,99,M163/F163))</f>
        <v/>
      </c>
      <c r="Q163" s="2">
        <f>IF(P163="","",IF(COUNTA($P$2:$P$300)&lt;=1,0,PERCENTRANK.INC($P$2:$P$300,P163)))</f>
        <v/>
      </c>
      <c r="R163" s="2">
        <f>IF(A163="","",0.45*H163+0.35*Q163+0.20*J163)</f>
        <v/>
      </c>
      <c r="S163">
        <f>IF(G163="","",IF(G163&lt;=0.33,"Low Movement",IF(G163&lt;=0.66,"Medium Movement","High Movement")))</f>
        <v/>
      </c>
      <c r="T163">
        <f>IF(R163="","",IF(R163&gt;=0.67,"High Value Bundle",IF(R163&gt;=0.34,"Medium Value Bundle","Low Value Bundle")))</f>
        <v/>
      </c>
      <c r="U163">
        <f>IF(A163="","",IF(AND(G163&gt;=0.70,J163&gt;=0.70,M163&gt;0),"Yes","No"))</f>
        <v/>
      </c>
      <c r="V163">
        <f>IF(A163="","",IF(AND(S163="Low Movement",M163&gt;0,P163&gt;=2),"Yes","No"))</f>
        <v/>
      </c>
      <c r="W163" s="2">
        <f>IF(T163="","",MIN(0.12,IF(T163="High Value Bundle",0.05,IF(T163="Medium Value Bundle",0.07,0.10))+IF(P163&gt;=8,0.02,0)))</f>
        <v/>
      </c>
      <c r="X163">
        <f>IF(U163="Yes",C163&amp;"|anchor","")</f>
        <v/>
      </c>
      <c r="Y163">
        <f>IF(U163="Yes",B163,"")</f>
        <v/>
      </c>
    </row>
    <row r="164">
      <c r="A164">
        <f>Input_Data!C164</f>
        <v/>
      </c>
      <c r="B164">
        <f>Input_Data!A164</f>
        <v/>
      </c>
      <c r="C164">
        <f>Input_Data!B164</f>
        <v/>
      </c>
      <c r="D164">
        <f>Input_Data!D164</f>
        <v/>
      </c>
      <c r="E164">
        <f>IF(A164="","",SUM(Input_Data!E164:H164))</f>
        <v/>
      </c>
      <c r="F164">
        <f>IF(E164="","",E164/4)</f>
        <v/>
      </c>
      <c r="G164" s="2">
        <f>IF(E164="","",IF(COUNTA($E$2:$E$300)&lt;=1,0,PERCENTRANK.INC($E$2:$E$300,E164)))</f>
        <v/>
      </c>
      <c r="H164" s="2">
        <f>IF(G164="","",1-G164)</f>
        <v/>
      </c>
      <c r="I164" s="2">
        <f>Input_Data!I164</f>
        <v/>
      </c>
      <c r="J164" s="2">
        <f>IF(I164="","",IF(COUNTA($I$2:$I$300)&lt;=1,0,PERCENTRANK.INC($I$2:$I$300,I164)))</f>
        <v/>
      </c>
      <c r="K164">
        <f>Input_Data!J164</f>
        <v/>
      </c>
      <c r="L164">
        <f>Input_Data!K164</f>
        <v/>
      </c>
      <c r="M164">
        <f>Input_Data!L164</f>
        <v/>
      </c>
      <c r="N164">
        <f>IF(K164="","",K164-L164)</f>
        <v/>
      </c>
      <c r="O164">
        <f>IF(A164="","",IF(ABS(M164-N164)&lt;=1,"OK","CHECK"))</f>
        <v/>
      </c>
      <c r="P164">
        <f>IF(M164="","",IF(F164=0,99,M164/F164))</f>
        <v/>
      </c>
      <c r="Q164" s="2">
        <f>IF(P164="","",IF(COUNTA($P$2:$P$300)&lt;=1,0,PERCENTRANK.INC($P$2:$P$300,P164)))</f>
        <v/>
      </c>
      <c r="R164" s="2">
        <f>IF(A164="","",0.45*H164+0.35*Q164+0.20*J164)</f>
        <v/>
      </c>
      <c r="S164">
        <f>IF(G164="","",IF(G164&lt;=0.33,"Low Movement",IF(G164&lt;=0.66,"Medium Movement","High Movement")))</f>
        <v/>
      </c>
      <c r="T164">
        <f>IF(R164="","",IF(R164&gt;=0.67,"High Value Bundle",IF(R164&gt;=0.34,"Medium Value Bundle","Low Value Bundle")))</f>
        <v/>
      </c>
      <c r="U164">
        <f>IF(A164="","",IF(AND(G164&gt;=0.70,J164&gt;=0.70,M164&gt;0),"Yes","No"))</f>
        <v/>
      </c>
      <c r="V164">
        <f>IF(A164="","",IF(AND(S164="Low Movement",M164&gt;0,P164&gt;=2),"Yes","No"))</f>
        <v/>
      </c>
      <c r="W164" s="2">
        <f>IF(T164="","",MIN(0.12,IF(T164="High Value Bundle",0.05,IF(T164="Medium Value Bundle",0.07,0.10))+IF(P164&gt;=8,0.02,0)))</f>
        <v/>
      </c>
      <c r="X164">
        <f>IF(U164="Yes",C164&amp;"|anchor","")</f>
        <v/>
      </c>
      <c r="Y164">
        <f>IF(U164="Yes",B164,"")</f>
        <v/>
      </c>
    </row>
    <row r="165">
      <c r="A165">
        <f>Input_Data!C165</f>
        <v/>
      </c>
      <c r="B165">
        <f>Input_Data!A165</f>
        <v/>
      </c>
      <c r="C165">
        <f>Input_Data!B165</f>
        <v/>
      </c>
      <c r="D165">
        <f>Input_Data!D165</f>
        <v/>
      </c>
      <c r="E165">
        <f>IF(A165="","",SUM(Input_Data!E165:H165))</f>
        <v/>
      </c>
      <c r="F165">
        <f>IF(E165="","",E165/4)</f>
        <v/>
      </c>
      <c r="G165" s="2">
        <f>IF(E165="","",IF(COUNTA($E$2:$E$300)&lt;=1,0,PERCENTRANK.INC($E$2:$E$300,E165)))</f>
        <v/>
      </c>
      <c r="H165" s="2">
        <f>IF(G165="","",1-G165)</f>
        <v/>
      </c>
      <c r="I165" s="2">
        <f>Input_Data!I165</f>
        <v/>
      </c>
      <c r="J165" s="2">
        <f>IF(I165="","",IF(COUNTA($I$2:$I$300)&lt;=1,0,PERCENTRANK.INC($I$2:$I$300,I165)))</f>
        <v/>
      </c>
      <c r="K165">
        <f>Input_Data!J165</f>
        <v/>
      </c>
      <c r="L165">
        <f>Input_Data!K165</f>
        <v/>
      </c>
      <c r="M165">
        <f>Input_Data!L165</f>
        <v/>
      </c>
      <c r="N165">
        <f>IF(K165="","",K165-L165)</f>
        <v/>
      </c>
      <c r="O165">
        <f>IF(A165="","",IF(ABS(M165-N165)&lt;=1,"OK","CHECK"))</f>
        <v/>
      </c>
      <c r="P165">
        <f>IF(M165="","",IF(F165=0,99,M165/F165))</f>
        <v/>
      </c>
      <c r="Q165" s="2">
        <f>IF(P165="","",IF(COUNTA($P$2:$P$300)&lt;=1,0,PERCENTRANK.INC($P$2:$P$300,P165)))</f>
        <v/>
      </c>
      <c r="R165" s="2">
        <f>IF(A165="","",0.45*H165+0.35*Q165+0.20*J165)</f>
        <v/>
      </c>
      <c r="S165">
        <f>IF(G165="","",IF(G165&lt;=0.33,"Low Movement",IF(G165&lt;=0.66,"Medium Movement","High Movement")))</f>
        <v/>
      </c>
      <c r="T165">
        <f>IF(R165="","",IF(R165&gt;=0.67,"High Value Bundle",IF(R165&gt;=0.34,"Medium Value Bundle","Low Value Bundle")))</f>
        <v/>
      </c>
      <c r="U165">
        <f>IF(A165="","",IF(AND(G165&gt;=0.70,J165&gt;=0.70,M165&gt;0),"Yes","No"))</f>
        <v/>
      </c>
      <c r="V165">
        <f>IF(A165="","",IF(AND(S165="Low Movement",M165&gt;0,P165&gt;=2),"Yes","No"))</f>
        <v/>
      </c>
      <c r="W165" s="2">
        <f>IF(T165="","",MIN(0.12,IF(T165="High Value Bundle",0.05,IF(T165="Medium Value Bundle",0.07,0.10))+IF(P165&gt;=8,0.02,0)))</f>
        <v/>
      </c>
      <c r="X165">
        <f>IF(U165="Yes",C165&amp;"|anchor","")</f>
        <v/>
      </c>
      <c r="Y165">
        <f>IF(U165="Yes",B165,"")</f>
        <v/>
      </c>
    </row>
    <row r="166">
      <c r="A166">
        <f>Input_Data!C166</f>
        <v/>
      </c>
      <c r="B166">
        <f>Input_Data!A166</f>
        <v/>
      </c>
      <c r="C166">
        <f>Input_Data!B166</f>
        <v/>
      </c>
      <c r="D166">
        <f>Input_Data!D166</f>
        <v/>
      </c>
      <c r="E166">
        <f>IF(A166="","",SUM(Input_Data!E166:H166))</f>
        <v/>
      </c>
      <c r="F166">
        <f>IF(E166="","",E166/4)</f>
        <v/>
      </c>
      <c r="G166" s="2">
        <f>IF(E166="","",IF(COUNTA($E$2:$E$300)&lt;=1,0,PERCENTRANK.INC($E$2:$E$300,E166)))</f>
        <v/>
      </c>
      <c r="H166" s="2">
        <f>IF(G166="","",1-G166)</f>
        <v/>
      </c>
      <c r="I166" s="2">
        <f>Input_Data!I166</f>
        <v/>
      </c>
      <c r="J166" s="2">
        <f>IF(I166="","",IF(COUNTA($I$2:$I$300)&lt;=1,0,PERCENTRANK.INC($I$2:$I$300,I166)))</f>
        <v/>
      </c>
      <c r="K166">
        <f>Input_Data!J166</f>
        <v/>
      </c>
      <c r="L166">
        <f>Input_Data!K166</f>
        <v/>
      </c>
      <c r="M166">
        <f>Input_Data!L166</f>
        <v/>
      </c>
      <c r="N166">
        <f>IF(K166="","",K166-L166)</f>
        <v/>
      </c>
      <c r="O166">
        <f>IF(A166="","",IF(ABS(M166-N166)&lt;=1,"OK","CHECK"))</f>
        <v/>
      </c>
      <c r="P166">
        <f>IF(M166="","",IF(F166=0,99,M166/F166))</f>
        <v/>
      </c>
      <c r="Q166" s="2">
        <f>IF(P166="","",IF(COUNTA($P$2:$P$300)&lt;=1,0,PERCENTRANK.INC($P$2:$P$300,P166)))</f>
        <v/>
      </c>
      <c r="R166" s="2">
        <f>IF(A166="","",0.45*H166+0.35*Q166+0.20*J166)</f>
        <v/>
      </c>
      <c r="S166">
        <f>IF(G166="","",IF(G166&lt;=0.33,"Low Movement",IF(G166&lt;=0.66,"Medium Movement","High Movement")))</f>
        <v/>
      </c>
      <c r="T166">
        <f>IF(R166="","",IF(R166&gt;=0.67,"High Value Bundle",IF(R166&gt;=0.34,"Medium Value Bundle","Low Value Bundle")))</f>
        <v/>
      </c>
      <c r="U166">
        <f>IF(A166="","",IF(AND(G166&gt;=0.70,J166&gt;=0.70,M166&gt;0),"Yes","No"))</f>
        <v/>
      </c>
      <c r="V166">
        <f>IF(A166="","",IF(AND(S166="Low Movement",M166&gt;0,P166&gt;=2),"Yes","No"))</f>
        <v/>
      </c>
      <c r="W166" s="2">
        <f>IF(T166="","",MIN(0.12,IF(T166="High Value Bundle",0.05,IF(T166="Medium Value Bundle",0.07,0.10))+IF(P166&gt;=8,0.02,0)))</f>
        <v/>
      </c>
      <c r="X166">
        <f>IF(U166="Yes",C166&amp;"|anchor","")</f>
        <v/>
      </c>
      <c r="Y166">
        <f>IF(U166="Yes",B166,"")</f>
        <v/>
      </c>
    </row>
    <row r="167">
      <c r="A167">
        <f>Input_Data!C167</f>
        <v/>
      </c>
      <c r="B167">
        <f>Input_Data!A167</f>
        <v/>
      </c>
      <c r="C167">
        <f>Input_Data!B167</f>
        <v/>
      </c>
      <c r="D167">
        <f>Input_Data!D167</f>
        <v/>
      </c>
      <c r="E167">
        <f>IF(A167="","",SUM(Input_Data!E167:H167))</f>
        <v/>
      </c>
      <c r="F167">
        <f>IF(E167="","",E167/4)</f>
        <v/>
      </c>
      <c r="G167" s="2">
        <f>IF(E167="","",IF(COUNTA($E$2:$E$300)&lt;=1,0,PERCENTRANK.INC($E$2:$E$300,E167)))</f>
        <v/>
      </c>
      <c r="H167" s="2">
        <f>IF(G167="","",1-G167)</f>
        <v/>
      </c>
      <c r="I167" s="2">
        <f>Input_Data!I167</f>
        <v/>
      </c>
      <c r="J167" s="2">
        <f>IF(I167="","",IF(COUNTA($I$2:$I$300)&lt;=1,0,PERCENTRANK.INC($I$2:$I$300,I167)))</f>
        <v/>
      </c>
      <c r="K167">
        <f>Input_Data!J167</f>
        <v/>
      </c>
      <c r="L167">
        <f>Input_Data!K167</f>
        <v/>
      </c>
      <c r="M167">
        <f>Input_Data!L167</f>
        <v/>
      </c>
      <c r="N167">
        <f>IF(K167="","",K167-L167)</f>
        <v/>
      </c>
      <c r="O167">
        <f>IF(A167="","",IF(ABS(M167-N167)&lt;=1,"OK","CHECK"))</f>
        <v/>
      </c>
      <c r="P167">
        <f>IF(M167="","",IF(F167=0,99,M167/F167))</f>
        <v/>
      </c>
      <c r="Q167" s="2">
        <f>IF(P167="","",IF(COUNTA($P$2:$P$300)&lt;=1,0,PERCENTRANK.INC($P$2:$P$300,P167)))</f>
        <v/>
      </c>
      <c r="R167" s="2">
        <f>IF(A167="","",0.45*H167+0.35*Q167+0.20*J167)</f>
        <v/>
      </c>
      <c r="S167">
        <f>IF(G167="","",IF(G167&lt;=0.33,"Low Movement",IF(G167&lt;=0.66,"Medium Movement","High Movement")))</f>
        <v/>
      </c>
      <c r="T167">
        <f>IF(R167="","",IF(R167&gt;=0.67,"High Value Bundle",IF(R167&gt;=0.34,"Medium Value Bundle","Low Value Bundle")))</f>
        <v/>
      </c>
      <c r="U167">
        <f>IF(A167="","",IF(AND(G167&gt;=0.70,J167&gt;=0.70,M167&gt;0),"Yes","No"))</f>
        <v/>
      </c>
      <c r="V167">
        <f>IF(A167="","",IF(AND(S167="Low Movement",M167&gt;0,P167&gt;=2),"Yes","No"))</f>
        <v/>
      </c>
      <c r="W167" s="2">
        <f>IF(T167="","",MIN(0.12,IF(T167="High Value Bundle",0.05,IF(T167="Medium Value Bundle",0.07,0.10))+IF(P167&gt;=8,0.02,0)))</f>
        <v/>
      </c>
      <c r="X167">
        <f>IF(U167="Yes",C167&amp;"|anchor","")</f>
        <v/>
      </c>
      <c r="Y167">
        <f>IF(U167="Yes",B167,"")</f>
        <v/>
      </c>
    </row>
    <row r="168">
      <c r="A168">
        <f>Input_Data!C168</f>
        <v/>
      </c>
      <c r="B168">
        <f>Input_Data!A168</f>
        <v/>
      </c>
      <c r="C168">
        <f>Input_Data!B168</f>
        <v/>
      </c>
      <c r="D168">
        <f>Input_Data!D168</f>
        <v/>
      </c>
      <c r="E168">
        <f>IF(A168="","",SUM(Input_Data!E168:H168))</f>
        <v/>
      </c>
      <c r="F168">
        <f>IF(E168="","",E168/4)</f>
        <v/>
      </c>
      <c r="G168" s="2">
        <f>IF(E168="","",IF(COUNTA($E$2:$E$300)&lt;=1,0,PERCENTRANK.INC($E$2:$E$300,E168)))</f>
        <v/>
      </c>
      <c r="H168" s="2">
        <f>IF(G168="","",1-G168)</f>
        <v/>
      </c>
      <c r="I168" s="2">
        <f>Input_Data!I168</f>
        <v/>
      </c>
      <c r="J168" s="2">
        <f>IF(I168="","",IF(COUNTA($I$2:$I$300)&lt;=1,0,PERCENTRANK.INC($I$2:$I$300,I168)))</f>
        <v/>
      </c>
      <c r="K168">
        <f>Input_Data!J168</f>
        <v/>
      </c>
      <c r="L168">
        <f>Input_Data!K168</f>
        <v/>
      </c>
      <c r="M168">
        <f>Input_Data!L168</f>
        <v/>
      </c>
      <c r="N168">
        <f>IF(K168="","",K168-L168)</f>
        <v/>
      </c>
      <c r="O168">
        <f>IF(A168="","",IF(ABS(M168-N168)&lt;=1,"OK","CHECK"))</f>
        <v/>
      </c>
      <c r="P168">
        <f>IF(M168="","",IF(F168=0,99,M168/F168))</f>
        <v/>
      </c>
      <c r="Q168" s="2">
        <f>IF(P168="","",IF(COUNTA($P$2:$P$300)&lt;=1,0,PERCENTRANK.INC($P$2:$P$300,P168)))</f>
        <v/>
      </c>
      <c r="R168" s="2">
        <f>IF(A168="","",0.45*H168+0.35*Q168+0.20*J168)</f>
        <v/>
      </c>
      <c r="S168">
        <f>IF(G168="","",IF(G168&lt;=0.33,"Low Movement",IF(G168&lt;=0.66,"Medium Movement","High Movement")))</f>
        <v/>
      </c>
      <c r="T168">
        <f>IF(R168="","",IF(R168&gt;=0.67,"High Value Bundle",IF(R168&gt;=0.34,"Medium Value Bundle","Low Value Bundle")))</f>
        <v/>
      </c>
      <c r="U168">
        <f>IF(A168="","",IF(AND(G168&gt;=0.70,J168&gt;=0.70,M168&gt;0),"Yes","No"))</f>
        <v/>
      </c>
      <c r="V168">
        <f>IF(A168="","",IF(AND(S168="Low Movement",M168&gt;0,P168&gt;=2),"Yes","No"))</f>
        <v/>
      </c>
      <c r="W168" s="2">
        <f>IF(T168="","",MIN(0.12,IF(T168="High Value Bundle",0.05,IF(T168="Medium Value Bundle",0.07,0.10))+IF(P168&gt;=8,0.02,0)))</f>
        <v/>
      </c>
      <c r="X168">
        <f>IF(U168="Yes",C168&amp;"|anchor","")</f>
        <v/>
      </c>
      <c r="Y168">
        <f>IF(U168="Yes",B168,"")</f>
        <v/>
      </c>
    </row>
    <row r="169">
      <c r="A169">
        <f>Input_Data!C169</f>
        <v/>
      </c>
      <c r="B169">
        <f>Input_Data!A169</f>
        <v/>
      </c>
      <c r="C169">
        <f>Input_Data!B169</f>
        <v/>
      </c>
      <c r="D169">
        <f>Input_Data!D169</f>
        <v/>
      </c>
      <c r="E169">
        <f>IF(A169="","",SUM(Input_Data!E169:H169))</f>
        <v/>
      </c>
      <c r="F169">
        <f>IF(E169="","",E169/4)</f>
        <v/>
      </c>
      <c r="G169" s="2">
        <f>IF(E169="","",IF(COUNTA($E$2:$E$300)&lt;=1,0,PERCENTRANK.INC($E$2:$E$300,E169)))</f>
        <v/>
      </c>
      <c r="H169" s="2">
        <f>IF(G169="","",1-G169)</f>
        <v/>
      </c>
      <c r="I169" s="2">
        <f>Input_Data!I169</f>
        <v/>
      </c>
      <c r="J169" s="2">
        <f>IF(I169="","",IF(COUNTA($I$2:$I$300)&lt;=1,0,PERCENTRANK.INC($I$2:$I$300,I169)))</f>
        <v/>
      </c>
      <c r="K169">
        <f>Input_Data!J169</f>
        <v/>
      </c>
      <c r="L169">
        <f>Input_Data!K169</f>
        <v/>
      </c>
      <c r="M169">
        <f>Input_Data!L169</f>
        <v/>
      </c>
      <c r="N169">
        <f>IF(K169="","",K169-L169)</f>
        <v/>
      </c>
      <c r="O169">
        <f>IF(A169="","",IF(ABS(M169-N169)&lt;=1,"OK","CHECK"))</f>
        <v/>
      </c>
      <c r="P169">
        <f>IF(M169="","",IF(F169=0,99,M169/F169))</f>
        <v/>
      </c>
      <c r="Q169" s="2">
        <f>IF(P169="","",IF(COUNTA($P$2:$P$300)&lt;=1,0,PERCENTRANK.INC($P$2:$P$300,P169)))</f>
        <v/>
      </c>
      <c r="R169" s="2">
        <f>IF(A169="","",0.45*H169+0.35*Q169+0.20*J169)</f>
        <v/>
      </c>
      <c r="S169">
        <f>IF(G169="","",IF(G169&lt;=0.33,"Low Movement",IF(G169&lt;=0.66,"Medium Movement","High Movement")))</f>
        <v/>
      </c>
      <c r="T169">
        <f>IF(R169="","",IF(R169&gt;=0.67,"High Value Bundle",IF(R169&gt;=0.34,"Medium Value Bundle","Low Value Bundle")))</f>
        <v/>
      </c>
      <c r="U169">
        <f>IF(A169="","",IF(AND(G169&gt;=0.70,J169&gt;=0.70,M169&gt;0),"Yes","No"))</f>
        <v/>
      </c>
      <c r="V169">
        <f>IF(A169="","",IF(AND(S169="Low Movement",M169&gt;0,P169&gt;=2),"Yes","No"))</f>
        <v/>
      </c>
      <c r="W169" s="2">
        <f>IF(T169="","",MIN(0.12,IF(T169="High Value Bundle",0.05,IF(T169="Medium Value Bundle",0.07,0.10))+IF(P169&gt;=8,0.02,0)))</f>
        <v/>
      </c>
      <c r="X169">
        <f>IF(U169="Yes",C169&amp;"|anchor","")</f>
        <v/>
      </c>
      <c r="Y169">
        <f>IF(U169="Yes",B169,"")</f>
        <v/>
      </c>
    </row>
    <row r="170">
      <c r="A170">
        <f>Input_Data!C170</f>
        <v/>
      </c>
      <c r="B170">
        <f>Input_Data!A170</f>
        <v/>
      </c>
      <c r="C170">
        <f>Input_Data!B170</f>
        <v/>
      </c>
      <c r="D170">
        <f>Input_Data!D170</f>
        <v/>
      </c>
      <c r="E170">
        <f>IF(A170="","",SUM(Input_Data!E170:H170))</f>
        <v/>
      </c>
      <c r="F170">
        <f>IF(E170="","",E170/4)</f>
        <v/>
      </c>
      <c r="G170" s="2">
        <f>IF(E170="","",IF(COUNTA($E$2:$E$300)&lt;=1,0,PERCENTRANK.INC($E$2:$E$300,E170)))</f>
        <v/>
      </c>
      <c r="H170" s="2">
        <f>IF(G170="","",1-G170)</f>
        <v/>
      </c>
      <c r="I170" s="2">
        <f>Input_Data!I170</f>
        <v/>
      </c>
      <c r="J170" s="2">
        <f>IF(I170="","",IF(COUNTA($I$2:$I$300)&lt;=1,0,PERCENTRANK.INC($I$2:$I$300,I170)))</f>
        <v/>
      </c>
      <c r="K170">
        <f>Input_Data!J170</f>
        <v/>
      </c>
      <c r="L170">
        <f>Input_Data!K170</f>
        <v/>
      </c>
      <c r="M170">
        <f>Input_Data!L170</f>
        <v/>
      </c>
      <c r="N170">
        <f>IF(K170="","",K170-L170)</f>
        <v/>
      </c>
      <c r="O170">
        <f>IF(A170="","",IF(ABS(M170-N170)&lt;=1,"OK","CHECK"))</f>
        <v/>
      </c>
      <c r="P170">
        <f>IF(M170="","",IF(F170=0,99,M170/F170))</f>
        <v/>
      </c>
      <c r="Q170" s="2">
        <f>IF(P170="","",IF(COUNTA($P$2:$P$300)&lt;=1,0,PERCENTRANK.INC($P$2:$P$300,P170)))</f>
        <v/>
      </c>
      <c r="R170" s="2">
        <f>IF(A170="","",0.45*H170+0.35*Q170+0.20*J170)</f>
        <v/>
      </c>
      <c r="S170">
        <f>IF(G170="","",IF(G170&lt;=0.33,"Low Movement",IF(G170&lt;=0.66,"Medium Movement","High Movement")))</f>
        <v/>
      </c>
      <c r="T170">
        <f>IF(R170="","",IF(R170&gt;=0.67,"High Value Bundle",IF(R170&gt;=0.34,"Medium Value Bundle","Low Value Bundle")))</f>
        <v/>
      </c>
      <c r="U170">
        <f>IF(A170="","",IF(AND(G170&gt;=0.70,J170&gt;=0.70,M170&gt;0),"Yes","No"))</f>
        <v/>
      </c>
      <c r="V170">
        <f>IF(A170="","",IF(AND(S170="Low Movement",M170&gt;0,P170&gt;=2),"Yes","No"))</f>
        <v/>
      </c>
      <c r="W170" s="2">
        <f>IF(T170="","",MIN(0.12,IF(T170="High Value Bundle",0.05,IF(T170="Medium Value Bundle",0.07,0.10))+IF(P170&gt;=8,0.02,0)))</f>
        <v/>
      </c>
      <c r="X170">
        <f>IF(U170="Yes",C170&amp;"|anchor","")</f>
        <v/>
      </c>
      <c r="Y170">
        <f>IF(U170="Yes",B170,"")</f>
        <v/>
      </c>
    </row>
    <row r="171">
      <c r="A171">
        <f>Input_Data!C171</f>
        <v/>
      </c>
      <c r="B171">
        <f>Input_Data!A171</f>
        <v/>
      </c>
      <c r="C171">
        <f>Input_Data!B171</f>
        <v/>
      </c>
      <c r="D171">
        <f>Input_Data!D171</f>
        <v/>
      </c>
      <c r="E171">
        <f>IF(A171="","",SUM(Input_Data!E171:H171))</f>
        <v/>
      </c>
      <c r="F171">
        <f>IF(E171="","",E171/4)</f>
        <v/>
      </c>
      <c r="G171" s="2">
        <f>IF(E171="","",IF(COUNTA($E$2:$E$300)&lt;=1,0,PERCENTRANK.INC($E$2:$E$300,E171)))</f>
        <v/>
      </c>
      <c r="H171" s="2">
        <f>IF(G171="","",1-G171)</f>
        <v/>
      </c>
      <c r="I171" s="2">
        <f>Input_Data!I171</f>
        <v/>
      </c>
      <c r="J171" s="2">
        <f>IF(I171="","",IF(COUNTA($I$2:$I$300)&lt;=1,0,PERCENTRANK.INC($I$2:$I$300,I171)))</f>
        <v/>
      </c>
      <c r="K171">
        <f>Input_Data!J171</f>
        <v/>
      </c>
      <c r="L171">
        <f>Input_Data!K171</f>
        <v/>
      </c>
      <c r="M171">
        <f>Input_Data!L171</f>
        <v/>
      </c>
      <c r="N171">
        <f>IF(K171="","",K171-L171)</f>
        <v/>
      </c>
      <c r="O171">
        <f>IF(A171="","",IF(ABS(M171-N171)&lt;=1,"OK","CHECK"))</f>
        <v/>
      </c>
      <c r="P171">
        <f>IF(M171="","",IF(F171=0,99,M171/F171))</f>
        <v/>
      </c>
      <c r="Q171" s="2">
        <f>IF(P171="","",IF(COUNTA($P$2:$P$300)&lt;=1,0,PERCENTRANK.INC($P$2:$P$300,P171)))</f>
        <v/>
      </c>
      <c r="R171" s="2">
        <f>IF(A171="","",0.45*H171+0.35*Q171+0.20*J171)</f>
        <v/>
      </c>
      <c r="S171">
        <f>IF(G171="","",IF(G171&lt;=0.33,"Low Movement",IF(G171&lt;=0.66,"Medium Movement","High Movement")))</f>
        <v/>
      </c>
      <c r="T171">
        <f>IF(R171="","",IF(R171&gt;=0.67,"High Value Bundle",IF(R171&gt;=0.34,"Medium Value Bundle","Low Value Bundle")))</f>
        <v/>
      </c>
      <c r="U171">
        <f>IF(A171="","",IF(AND(G171&gt;=0.70,J171&gt;=0.70,M171&gt;0),"Yes","No"))</f>
        <v/>
      </c>
      <c r="V171">
        <f>IF(A171="","",IF(AND(S171="Low Movement",M171&gt;0,P171&gt;=2),"Yes","No"))</f>
        <v/>
      </c>
      <c r="W171" s="2">
        <f>IF(T171="","",MIN(0.12,IF(T171="High Value Bundle",0.05,IF(T171="Medium Value Bundle",0.07,0.10))+IF(P171&gt;=8,0.02,0)))</f>
        <v/>
      </c>
      <c r="X171">
        <f>IF(U171="Yes",C171&amp;"|anchor","")</f>
        <v/>
      </c>
      <c r="Y171">
        <f>IF(U171="Yes",B171,"")</f>
        <v/>
      </c>
    </row>
    <row r="172">
      <c r="A172">
        <f>Input_Data!C172</f>
        <v/>
      </c>
      <c r="B172">
        <f>Input_Data!A172</f>
        <v/>
      </c>
      <c r="C172">
        <f>Input_Data!B172</f>
        <v/>
      </c>
      <c r="D172">
        <f>Input_Data!D172</f>
        <v/>
      </c>
      <c r="E172">
        <f>IF(A172="","",SUM(Input_Data!E172:H172))</f>
        <v/>
      </c>
      <c r="F172">
        <f>IF(E172="","",E172/4)</f>
        <v/>
      </c>
      <c r="G172" s="2">
        <f>IF(E172="","",IF(COUNTA($E$2:$E$300)&lt;=1,0,PERCENTRANK.INC($E$2:$E$300,E172)))</f>
        <v/>
      </c>
      <c r="H172" s="2">
        <f>IF(G172="","",1-G172)</f>
        <v/>
      </c>
      <c r="I172" s="2">
        <f>Input_Data!I172</f>
        <v/>
      </c>
      <c r="J172" s="2">
        <f>IF(I172="","",IF(COUNTA($I$2:$I$300)&lt;=1,0,PERCENTRANK.INC($I$2:$I$300,I172)))</f>
        <v/>
      </c>
      <c r="K172">
        <f>Input_Data!J172</f>
        <v/>
      </c>
      <c r="L172">
        <f>Input_Data!K172</f>
        <v/>
      </c>
      <c r="M172">
        <f>Input_Data!L172</f>
        <v/>
      </c>
      <c r="N172">
        <f>IF(K172="","",K172-L172)</f>
        <v/>
      </c>
      <c r="O172">
        <f>IF(A172="","",IF(ABS(M172-N172)&lt;=1,"OK","CHECK"))</f>
        <v/>
      </c>
      <c r="P172">
        <f>IF(M172="","",IF(F172=0,99,M172/F172))</f>
        <v/>
      </c>
      <c r="Q172" s="2">
        <f>IF(P172="","",IF(COUNTA($P$2:$P$300)&lt;=1,0,PERCENTRANK.INC($P$2:$P$300,P172)))</f>
        <v/>
      </c>
      <c r="R172" s="2">
        <f>IF(A172="","",0.45*H172+0.35*Q172+0.20*J172)</f>
        <v/>
      </c>
      <c r="S172">
        <f>IF(G172="","",IF(G172&lt;=0.33,"Low Movement",IF(G172&lt;=0.66,"Medium Movement","High Movement")))</f>
        <v/>
      </c>
      <c r="T172">
        <f>IF(R172="","",IF(R172&gt;=0.67,"High Value Bundle",IF(R172&gt;=0.34,"Medium Value Bundle","Low Value Bundle")))</f>
        <v/>
      </c>
      <c r="U172">
        <f>IF(A172="","",IF(AND(G172&gt;=0.70,J172&gt;=0.70,M172&gt;0),"Yes","No"))</f>
        <v/>
      </c>
      <c r="V172">
        <f>IF(A172="","",IF(AND(S172="Low Movement",M172&gt;0,P172&gt;=2),"Yes","No"))</f>
        <v/>
      </c>
      <c r="W172" s="2">
        <f>IF(T172="","",MIN(0.12,IF(T172="High Value Bundle",0.05,IF(T172="Medium Value Bundle",0.07,0.10))+IF(P172&gt;=8,0.02,0)))</f>
        <v/>
      </c>
      <c r="X172">
        <f>IF(U172="Yes",C172&amp;"|anchor","")</f>
        <v/>
      </c>
      <c r="Y172">
        <f>IF(U172="Yes",B172,"")</f>
        <v/>
      </c>
    </row>
    <row r="173">
      <c r="A173">
        <f>Input_Data!C173</f>
        <v/>
      </c>
      <c r="B173">
        <f>Input_Data!A173</f>
        <v/>
      </c>
      <c r="C173">
        <f>Input_Data!B173</f>
        <v/>
      </c>
      <c r="D173">
        <f>Input_Data!D173</f>
        <v/>
      </c>
      <c r="E173">
        <f>IF(A173="","",SUM(Input_Data!E173:H173))</f>
        <v/>
      </c>
      <c r="F173">
        <f>IF(E173="","",E173/4)</f>
        <v/>
      </c>
      <c r="G173" s="2">
        <f>IF(E173="","",IF(COUNTA($E$2:$E$300)&lt;=1,0,PERCENTRANK.INC($E$2:$E$300,E173)))</f>
        <v/>
      </c>
      <c r="H173" s="2">
        <f>IF(G173="","",1-G173)</f>
        <v/>
      </c>
      <c r="I173" s="2">
        <f>Input_Data!I173</f>
        <v/>
      </c>
      <c r="J173" s="2">
        <f>IF(I173="","",IF(COUNTA($I$2:$I$300)&lt;=1,0,PERCENTRANK.INC($I$2:$I$300,I173)))</f>
        <v/>
      </c>
      <c r="K173">
        <f>Input_Data!J173</f>
        <v/>
      </c>
      <c r="L173">
        <f>Input_Data!K173</f>
        <v/>
      </c>
      <c r="M173">
        <f>Input_Data!L173</f>
        <v/>
      </c>
      <c r="N173">
        <f>IF(K173="","",K173-L173)</f>
        <v/>
      </c>
      <c r="O173">
        <f>IF(A173="","",IF(ABS(M173-N173)&lt;=1,"OK","CHECK"))</f>
        <v/>
      </c>
      <c r="P173">
        <f>IF(M173="","",IF(F173=0,99,M173/F173))</f>
        <v/>
      </c>
      <c r="Q173" s="2">
        <f>IF(P173="","",IF(COUNTA($P$2:$P$300)&lt;=1,0,PERCENTRANK.INC($P$2:$P$300,P173)))</f>
        <v/>
      </c>
      <c r="R173" s="2">
        <f>IF(A173="","",0.45*H173+0.35*Q173+0.20*J173)</f>
        <v/>
      </c>
      <c r="S173">
        <f>IF(G173="","",IF(G173&lt;=0.33,"Low Movement",IF(G173&lt;=0.66,"Medium Movement","High Movement")))</f>
        <v/>
      </c>
      <c r="T173">
        <f>IF(R173="","",IF(R173&gt;=0.67,"High Value Bundle",IF(R173&gt;=0.34,"Medium Value Bundle","Low Value Bundle")))</f>
        <v/>
      </c>
      <c r="U173">
        <f>IF(A173="","",IF(AND(G173&gt;=0.70,J173&gt;=0.70,M173&gt;0),"Yes","No"))</f>
        <v/>
      </c>
      <c r="V173">
        <f>IF(A173="","",IF(AND(S173="Low Movement",M173&gt;0,P173&gt;=2),"Yes","No"))</f>
        <v/>
      </c>
      <c r="W173" s="2">
        <f>IF(T173="","",MIN(0.12,IF(T173="High Value Bundle",0.05,IF(T173="Medium Value Bundle",0.07,0.10))+IF(P173&gt;=8,0.02,0)))</f>
        <v/>
      </c>
      <c r="X173">
        <f>IF(U173="Yes",C173&amp;"|anchor","")</f>
        <v/>
      </c>
      <c r="Y173">
        <f>IF(U173="Yes",B173,"")</f>
        <v/>
      </c>
    </row>
    <row r="174">
      <c r="A174">
        <f>Input_Data!C174</f>
        <v/>
      </c>
      <c r="B174">
        <f>Input_Data!A174</f>
        <v/>
      </c>
      <c r="C174">
        <f>Input_Data!B174</f>
        <v/>
      </c>
      <c r="D174">
        <f>Input_Data!D174</f>
        <v/>
      </c>
      <c r="E174">
        <f>IF(A174="","",SUM(Input_Data!E174:H174))</f>
        <v/>
      </c>
      <c r="F174">
        <f>IF(E174="","",E174/4)</f>
        <v/>
      </c>
      <c r="G174" s="2">
        <f>IF(E174="","",IF(COUNTA($E$2:$E$300)&lt;=1,0,PERCENTRANK.INC($E$2:$E$300,E174)))</f>
        <v/>
      </c>
      <c r="H174" s="2">
        <f>IF(G174="","",1-G174)</f>
        <v/>
      </c>
      <c r="I174" s="2">
        <f>Input_Data!I174</f>
        <v/>
      </c>
      <c r="J174" s="2">
        <f>IF(I174="","",IF(COUNTA($I$2:$I$300)&lt;=1,0,PERCENTRANK.INC($I$2:$I$300,I174)))</f>
        <v/>
      </c>
      <c r="K174">
        <f>Input_Data!J174</f>
        <v/>
      </c>
      <c r="L174">
        <f>Input_Data!K174</f>
        <v/>
      </c>
      <c r="M174">
        <f>Input_Data!L174</f>
        <v/>
      </c>
      <c r="N174">
        <f>IF(K174="","",K174-L174)</f>
        <v/>
      </c>
      <c r="O174">
        <f>IF(A174="","",IF(ABS(M174-N174)&lt;=1,"OK","CHECK"))</f>
        <v/>
      </c>
      <c r="P174">
        <f>IF(M174="","",IF(F174=0,99,M174/F174))</f>
        <v/>
      </c>
      <c r="Q174" s="2">
        <f>IF(P174="","",IF(COUNTA($P$2:$P$300)&lt;=1,0,PERCENTRANK.INC($P$2:$P$300,P174)))</f>
        <v/>
      </c>
      <c r="R174" s="2">
        <f>IF(A174="","",0.45*H174+0.35*Q174+0.20*J174)</f>
        <v/>
      </c>
      <c r="S174">
        <f>IF(G174="","",IF(G174&lt;=0.33,"Low Movement",IF(G174&lt;=0.66,"Medium Movement","High Movement")))</f>
        <v/>
      </c>
      <c r="T174">
        <f>IF(R174="","",IF(R174&gt;=0.67,"High Value Bundle",IF(R174&gt;=0.34,"Medium Value Bundle","Low Value Bundle")))</f>
        <v/>
      </c>
      <c r="U174">
        <f>IF(A174="","",IF(AND(G174&gt;=0.70,J174&gt;=0.70,M174&gt;0),"Yes","No"))</f>
        <v/>
      </c>
      <c r="V174">
        <f>IF(A174="","",IF(AND(S174="Low Movement",M174&gt;0,P174&gt;=2),"Yes","No"))</f>
        <v/>
      </c>
      <c r="W174" s="2">
        <f>IF(T174="","",MIN(0.12,IF(T174="High Value Bundle",0.05,IF(T174="Medium Value Bundle",0.07,0.10))+IF(P174&gt;=8,0.02,0)))</f>
        <v/>
      </c>
      <c r="X174">
        <f>IF(U174="Yes",C174&amp;"|anchor","")</f>
        <v/>
      </c>
      <c r="Y174">
        <f>IF(U174="Yes",B174,"")</f>
        <v/>
      </c>
    </row>
    <row r="175">
      <c r="A175">
        <f>Input_Data!C175</f>
        <v/>
      </c>
      <c r="B175">
        <f>Input_Data!A175</f>
        <v/>
      </c>
      <c r="C175">
        <f>Input_Data!B175</f>
        <v/>
      </c>
      <c r="D175">
        <f>Input_Data!D175</f>
        <v/>
      </c>
      <c r="E175">
        <f>IF(A175="","",SUM(Input_Data!E175:H175))</f>
        <v/>
      </c>
      <c r="F175">
        <f>IF(E175="","",E175/4)</f>
        <v/>
      </c>
      <c r="G175" s="2">
        <f>IF(E175="","",IF(COUNTA($E$2:$E$300)&lt;=1,0,PERCENTRANK.INC($E$2:$E$300,E175)))</f>
        <v/>
      </c>
      <c r="H175" s="2">
        <f>IF(G175="","",1-G175)</f>
        <v/>
      </c>
      <c r="I175" s="2">
        <f>Input_Data!I175</f>
        <v/>
      </c>
      <c r="J175" s="2">
        <f>IF(I175="","",IF(COUNTA($I$2:$I$300)&lt;=1,0,PERCENTRANK.INC($I$2:$I$300,I175)))</f>
        <v/>
      </c>
      <c r="K175">
        <f>Input_Data!J175</f>
        <v/>
      </c>
      <c r="L175">
        <f>Input_Data!K175</f>
        <v/>
      </c>
      <c r="M175">
        <f>Input_Data!L175</f>
        <v/>
      </c>
      <c r="N175">
        <f>IF(K175="","",K175-L175)</f>
        <v/>
      </c>
      <c r="O175">
        <f>IF(A175="","",IF(ABS(M175-N175)&lt;=1,"OK","CHECK"))</f>
        <v/>
      </c>
      <c r="P175">
        <f>IF(M175="","",IF(F175=0,99,M175/F175))</f>
        <v/>
      </c>
      <c r="Q175" s="2">
        <f>IF(P175="","",IF(COUNTA($P$2:$P$300)&lt;=1,0,PERCENTRANK.INC($P$2:$P$300,P175)))</f>
        <v/>
      </c>
      <c r="R175" s="2">
        <f>IF(A175="","",0.45*H175+0.35*Q175+0.20*J175)</f>
        <v/>
      </c>
      <c r="S175">
        <f>IF(G175="","",IF(G175&lt;=0.33,"Low Movement",IF(G175&lt;=0.66,"Medium Movement","High Movement")))</f>
        <v/>
      </c>
      <c r="T175">
        <f>IF(R175="","",IF(R175&gt;=0.67,"High Value Bundle",IF(R175&gt;=0.34,"Medium Value Bundle","Low Value Bundle")))</f>
        <v/>
      </c>
      <c r="U175">
        <f>IF(A175="","",IF(AND(G175&gt;=0.70,J175&gt;=0.70,M175&gt;0),"Yes","No"))</f>
        <v/>
      </c>
      <c r="V175">
        <f>IF(A175="","",IF(AND(S175="Low Movement",M175&gt;0,P175&gt;=2),"Yes","No"))</f>
        <v/>
      </c>
      <c r="W175" s="2">
        <f>IF(T175="","",MIN(0.12,IF(T175="High Value Bundle",0.05,IF(T175="Medium Value Bundle",0.07,0.10))+IF(P175&gt;=8,0.02,0)))</f>
        <v/>
      </c>
      <c r="X175">
        <f>IF(U175="Yes",C175&amp;"|anchor","")</f>
        <v/>
      </c>
      <c r="Y175">
        <f>IF(U175="Yes",B175,"")</f>
        <v/>
      </c>
    </row>
    <row r="176">
      <c r="A176">
        <f>Input_Data!C176</f>
        <v/>
      </c>
      <c r="B176">
        <f>Input_Data!A176</f>
        <v/>
      </c>
      <c r="C176">
        <f>Input_Data!B176</f>
        <v/>
      </c>
      <c r="D176">
        <f>Input_Data!D176</f>
        <v/>
      </c>
      <c r="E176">
        <f>IF(A176="","",SUM(Input_Data!E176:H176))</f>
        <v/>
      </c>
      <c r="F176">
        <f>IF(E176="","",E176/4)</f>
        <v/>
      </c>
      <c r="G176" s="2">
        <f>IF(E176="","",IF(COUNTA($E$2:$E$300)&lt;=1,0,PERCENTRANK.INC($E$2:$E$300,E176)))</f>
        <v/>
      </c>
      <c r="H176" s="2">
        <f>IF(G176="","",1-G176)</f>
        <v/>
      </c>
      <c r="I176" s="2">
        <f>Input_Data!I176</f>
        <v/>
      </c>
      <c r="J176" s="2">
        <f>IF(I176="","",IF(COUNTA($I$2:$I$300)&lt;=1,0,PERCENTRANK.INC($I$2:$I$300,I176)))</f>
        <v/>
      </c>
      <c r="K176">
        <f>Input_Data!J176</f>
        <v/>
      </c>
      <c r="L176">
        <f>Input_Data!K176</f>
        <v/>
      </c>
      <c r="M176">
        <f>Input_Data!L176</f>
        <v/>
      </c>
      <c r="N176">
        <f>IF(K176="","",K176-L176)</f>
        <v/>
      </c>
      <c r="O176">
        <f>IF(A176="","",IF(ABS(M176-N176)&lt;=1,"OK","CHECK"))</f>
        <v/>
      </c>
      <c r="P176">
        <f>IF(M176="","",IF(F176=0,99,M176/F176))</f>
        <v/>
      </c>
      <c r="Q176" s="2">
        <f>IF(P176="","",IF(COUNTA($P$2:$P$300)&lt;=1,0,PERCENTRANK.INC($P$2:$P$300,P176)))</f>
        <v/>
      </c>
      <c r="R176" s="2">
        <f>IF(A176="","",0.45*H176+0.35*Q176+0.20*J176)</f>
        <v/>
      </c>
      <c r="S176">
        <f>IF(G176="","",IF(G176&lt;=0.33,"Low Movement",IF(G176&lt;=0.66,"Medium Movement","High Movement")))</f>
        <v/>
      </c>
      <c r="T176">
        <f>IF(R176="","",IF(R176&gt;=0.67,"High Value Bundle",IF(R176&gt;=0.34,"Medium Value Bundle","Low Value Bundle")))</f>
        <v/>
      </c>
      <c r="U176">
        <f>IF(A176="","",IF(AND(G176&gt;=0.70,J176&gt;=0.70,M176&gt;0),"Yes","No"))</f>
        <v/>
      </c>
      <c r="V176">
        <f>IF(A176="","",IF(AND(S176="Low Movement",M176&gt;0,P176&gt;=2),"Yes","No"))</f>
        <v/>
      </c>
      <c r="W176" s="2">
        <f>IF(T176="","",MIN(0.12,IF(T176="High Value Bundle",0.05,IF(T176="Medium Value Bundle",0.07,0.10))+IF(P176&gt;=8,0.02,0)))</f>
        <v/>
      </c>
      <c r="X176">
        <f>IF(U176="Yes",C176&amp;"|anchor","")</f>
        <v/>
      </c>
      <c r="Y176">
        <f>IF(U176="Yes",B176,"")</f>
        <v/>
      </c>
    </row>
    <row r="177">
      <c r="A177">
        <f>Input_Data!C177</f>
        <v/>
      </c>
      <c r="B177">
        <f>Input_Data!A177</f>
        <v/>
      </c>
      <c r="C177">
        <f>Input_Data!B177</f>
        <v/>
      </c>
      <c r="D177">
        <f>Input_Data!D177</f>
        <v/>
      </c>
      <c r="E177">
        <f>IF(A177="","",SUM(Input_Data!E177:H177))</f>
        <v/>
      </c>
      <c r="F177">
        <f>IF(E177="","",E177/4)</f>
        <v/>
      </c>
      <c r="G177" s="2">
        <f>IF(E177="","",IF(COUNTA($E$2:$E$300)&lt;=1,0,PERCENTRANK.INC($E$2:$E$300,E177)))</f>
        <v/>
      </c>
      <c r="H177" s="2">
        <f>IF(G177="","",1-G177)</f>
        <v/>
      </c>
      <c r="I177" s="2">
        <f>Input_Data!I177</f>
        <v/>
      </c>
      <c r="J177" s="2">
        <f>IF(I177="","",IF(COUNTA($I$2:$I$300)&lt;=1,0,PERCENTRANK.INC($I$2:$I$300,I177)))</f>
        <v/>
      </c>
      <c r="K177">
        <f>Input_Data!J177</f>
        <v/>
      </c>
      <c r="L177">
        <f>Input_Data!K177</f>
        <v/>
      </c>
      <c r="M177">
        <f>Input_Data!L177</f>
        <v/>
      </c>
      <c r="N177">
        <f>IF(K177="","",K177-L177)</f>
        <v/>
      </c>
      <c r="O177">
        <f>IF(A177="","",IF(ABS(M177-N177)&lt;=1,"OK","CHECK"))</f>
        <v/>
      </c>
      <c r="P177">
        <f>IF(M177="","",IF(F177=0,99,M177/F177))</f>
        <v/>
      </c>
      <c r="Q177" s="2">
        <f>IF(P177="","",IF(COUNTA($P$2:$P$300)&lt;=1,0,PERCENTRANK.INC($P$2:$P$300,P177)))</f>
        <v/>
      </c>
      <c r="R177" s="2">
        <f>IF(A177="","",0.45*H177+0.35*Q177+0.20*J177)</f>
        <v/>
      </c>
      <c r="S177">
        <f>IF(G177="","",IF(G177&lt;=0.33,"Low Movement",IF(G177&lt;=0.66,"Medium Movement","High Movement")))</f>
        <v/>
      </c>
      <c r="T177">
        <f>IF(R177="","",IF(R177&gt;=0.67,"High Value Bundle",IF(R177&gt;=0.34,"Medium Value Bundle","Low Value Bundle")))</f>
        <v/>
      </c>
      <c r="U177">
        <f>IF(A177="","",IF(AND(G177&gt;=0.70,J177&gt;=0.70,M177&gt;0),"Yes","No"))</f>
        <v/>
      </c>
      <c r="V177">
        <f>IF(A177="","",IF(AND(S177="Low Movement",M177&gt;0,P177&gt;=2),"Yes","No"))</f>
        <v/>
      </c>
      <c r="W177" s="2">
        <f>IF(T177="","",MIN(0.12,IF(T177="High Value Bundle",0.05,IF(T177="Medium Value Bundle",0.07,0.10))+IF(P177&gt;=8,0.02,0)))</f>
        <v/>
      </c>
      <c r="X177">
        <f>IF(U177="Yes",C177&amp;"|anchor","")</f>
        <v/>
      </c>
      <c r="Y177">
        <f>IF(U177="Yes",B177,"")</f>
        <v/>
      </c>
    </row>
    <row r="178">
      <c r="A178">
        <f>Input_Data!C178</f>
        <v/>
      </c>
      <c r="B178">
        <f>Input_Data!A178</f>
        <v/>
      </c>
      <c r="C178">
        <f>Input_Data!B178</f>
        <v/>
      </c>
      <c r="D178">
        <f>Input_Data!D178</f>
        <v/>
      </c>
      <c r="E178">
        <f>IF(A178="","",SUM(Input_Data!E178:H178))</f>
        <v/>
      </c>
      <c r="F178">
        <f>IF(E178="","",E178/4)</f>
        <v/>
      </c>
      <c r="G178" s="2">
        <f>IF(E178="","",IF(COUNTA($E$2:$E$300)&lt;=1,0,PERCENTRANK.INC($E$2:$E$300,E178)))</f>
        <v/>
      </c>
      <c r="H178" s="2">
        <f>IF(G178="","",1-G178)</f>
        <v/>
      </c>
      <c r="I178" s="2">
        <f>Input_Data!I178</f>
        <v/>
      </c>
      <c r="J178" s="2">
        <f>IF(I178="","",IF(COUNTA($I$2:$I$300)&lt;=1,0,PERCENTRANK.INC($I$2:$I$300,I178)))</f>
        <v/>
      </c>
      <c r="K178">
        <f>Input_Data!J178</f>
        <v/>
      </c>
      <c r="L178">
        <f>Input_Data!K178</f>
        <v/>
      </c>
      <c r="M178">
        <f>Input_Data!L178</f>
        <v/>
      </c>
      <c r="N178">
        <f>IF(K178="","",K178-L178)</f>
        <v/>
      </c>
      <c r="O178">
        <f>IF(A178="","",IF(ABS(M178-N178)&lt;=1,"OK","CHECK"))</f>
        <v/>
      </c>
      <c r="P178">
        <f>IF(M178="","",IF(F178=0,99,M178/F178))</f>
        <v/>
      </c>
      <c r="Q178" s="2">
        <f>IF(P178="","",IF(COUNTA($P$2:$P$300)&lt;=1,0,PERCENTRANK.INC($P$2:$P$300,P178)))</f>
        <v/>
      </c>
      <c r="R178" s="2">
        <f>IF(A178="","",0.45*H178+0.35*Q178+0.20*J178)</f>
        <v/>
      </c>
      <c r="S178">
        <f>IF(G178="","",IF(G178&lt;=0.33,"Low Movement",IF(G178&lt;=0.66,"Medium Movement","High Movement")))</f>
        <v/>
      </c>
      <c r="T178">
        <f>IF(R178="","",IF(R178&gt;=0.67,"High Value Bundle",IF(R178&gt;=0.34,"Medium Value Bundle","Low Value Bundle")))</f>
        <v/>
      </c>
      <c r="U178">
        <f>IF(A178="","",IF(AND(G178&gt;=0.70,J178&gt;=0.70,M178&gt;0),"Yes","No"))</f>
        <v/>
      </c>
      <c r="V178">
        <f>IF(A178="","",IF(AND(S178="Low Movement",M178&gt;0,P178&gt;=2),"Yes","No"))</f>
        <v/>
      </c>
      <c r="W178" s="2">
        <f>IF(T178="","",MIN(0.12,IF(T178="High Value Bundle",0.05,IF(T178="Medium Value Bundle",0.07,0.10))+IF(P178&gt;=8,0.02,0)))</f>
        <v/>
      </c>
      <c r="X178">
        <f>IF(U178="Yes",C178&amp;"|anchor","")</f>
        <v/>
      </c>
      <c r="Y178">
        <f>IF(U178="Yes",B178,"")</f>
        <v/>
      </c>
    </row>
    <row r="179">
      <c r="A179">
        <f>Input_Data!C179</f>
        <v/>
      </c>
      <c r="B179">
        <f>Input_Data!A179</f>
        <v/>
      </c>
      <c r="C179">
        <f>Input_Data!B179</f>
        <v/>
      </c>
      <c r="D179">
        <f>Input_Data!D179</f>
        <v/>
      </c>
      <c r="E179">
        <f>IF(A179="","",SUM(Input_Data!E179:H179))</f>
        <v/>
      </c>
      <c r="F179">
        <f>IF(E179="","",E179/4)</f>
        <v/>
      </c>
      <c r="G179" s="2">
        <f>IF(E179="","",IF(COUNTA($E$2:$E$300)&lt;=1,0,PERCENTRANK.INC($E$2:$E$300,E179)))</f>
        <v/>
      </c>
      <c r="H179" s="2">
        <f>IF(G179="","",1-G179)</f>
        <v/>
      </c>
      <c r="I179" s="2">
        <f>Input_Data!I179</f>
        <v/>
      </c>
      <c r="J179" s="2">
        <f>IF(I179="","",IF(COUNTA($I$2:$I$300)&lt;=1,0,PERCENTRANK.INC($I$2:$I$300,I179)))</f>
        <v/>
      </c>
      <c r="K179">
        <f>Input_Data!J179</f>
        <v/>
      </c>
      <c r="L179">
        <f>Input_Data!K179</f>
        <v/>
      </c>
      <c r="M179">
        <f>Input_Data!L179</f>
        <v/>
      </c>
      <c r="N179">
        <f>IF(K179="","",K179-L179)</f>
        <v/>
      </c>
      <c r="O179">
        <f>IF(A179="","",IF(ABS(M179-N179)&lt;=1,"OK","CHECK"))</f>
        <v/>
      </c>
      <c r="P179">
        <f>IF(M179="","",IF(F179=0,99,M179/F179))</f>
        <v/>
      </c>
      <c r="Q179" s="2">
        <f>IF(P179="","",IF(COUNTA($P$2:$P$300)&lt;=1,0,PERCENTRANK.INC($P$2:$P$300,P179)))</f>
        <v/>
      </c>
      <c r="R179" s="2">
        <f>IF(A179="","",0.45*H179+0.35*Q179+0.20*J179)</f>
        <v/>
      </c>
      <c r="S179">
        <f>IF(G179="","",IF(G179&lt;=0.33,"Low Movement",IF(G179&lt;=0.66,"Medium Movement","High Movement")))</f>
        <v/>
      </c>
      <c r="T179">
        <f>IF(R179="","",IF(R179&gt;=0.67,"High Value Bundle",IF(R179&gt;=0.34,"Medium Value Bundle","Low Value Bundle")))</f>
        <v/>
      </c>
      <c r="U179">
        <f>IF(A179="","",IF(AND(G179&gt;=0.70,J179&gt;=0.70,M179&gt;0),"Yes","No"))</f>
        <v/>
      </c>
      <c r="V179">
        <f>IF(A179="","",IF(AND(S179="Low Movement",M179&gt;0,P179&gt;=2),"Yes","No"))</f>
        <v/>
      </c>
      <c r="W179" s="2">
        <f>IF(T179="","",MIN(0.12,IF(T179="High Value Bundle",0.05,IF(T179="Medium Value Bundle",0.07,0.10))+IF(P179&gt;=8,0.02,0)))</f>
        <v/>
      </c>
      <c r="X179">
        <f>IF(U179="Yes",C179&amp;"|anchor","")</f>
        <v/>
      </c>
      <c r="Y179">
        <f>IF(U179="Yes",B179,"")</f>
        <v/>
      </c>
    </row>
    <row r="180">
      <c r="A180">
        <f>Input_Data!C180</f>
        <v/>
      </c>
      <c r="B180">
        <f>Input_Data!A180</f>
        <v/>
      </c>
      <c r="C180">
        <f>Input_Data!B180</f>
        <v/>
      </c>
      <c r="D180">
        <f>Input_Data!D180</f>
        <v/>
      </c>
      <c r="E180">
        <f>IF(A180="","",SUM(Input_Data!E180:H180))</f>
        <v/>
      </c>
      <c r="F180">
        <f>IF(E180="","",E180/4)</f>
        <v/>
      </c>
      <c r="G180" s="2">
        <f>IF(E180="","",IF(COUNTA($E$2:$E$300)&lt;=1,0,PERCENTRANK.INC($E$2:$E$300,E180)))</f>
        <v/>
      </c>
      <c r="H180" s="2">
        <f>IF(G180="","",1-G180)</f>
        <v/>
      </c>
      <c r="I180" s="2">
        <f>Input_Data!I180</f>
        <v/>
      </c>
      <c r="J180" s="2">
        <f>IF(I180="","",IF(COUNTA($I$2:$I$300)&lt;=1,0,PERCENTRANK.INC($I$2:$I$300,I180)))</f>
        <v/>
      </c>
      <c r="K180">
        <f>Input_Data!J180</f>
        <v/>
      </c>
      <c r="L180">
        <f>Input_Data!K180</f>
        <v/>
      </c>
      <c r="M180">
        <f>Input_Data!L180</f>
        <v/>
      </c>
      <c r="N180">
        <f>IF(K180="","",K180-L180)</f>
        <v/>
      </c>
      <c r="O180">
        <f>IF(A180="","",IF(ABS(M180-N180)&lt;=1,"OK","CHECK"))</f>
        <v/>
      </c>
      <c r="P180">
        <f>IF(M180="","",IF(F180=0,99,M180/F180))</f>
        <v/>
      </c>
      <c r="Q180" s="2">
        <f>IF(P180="","",IF(COUNTA($P$2:$P$300)&lt;=1,0,PERCENTRANK.INC($P$2:$P$300,P180)))</f>
        <v/>
      </c>
      <c r="R180" s="2">
        <f>IF(A180="","",0.45*H180+0.35*Q180+0.20*J180)</f>
        <v/>
      </c>
      <c r="S180">
        <f>IF(G180="","",IF(G180&lt;=0.33,"Low Movement",IF(G180&lt;=0.66,"Medium Movement","High Movement")))</f>
        <v/>
      </c>
      <c r="T180">
        <f>IF(R180="","",IF(R180&gt;=0.67,"High Value Bundle",IF(R180&gt;=0.34,"Medium Value Bundle","Low Value Bundle")))</f>
        <v/>
      </c>
      <c r="U180">
        <f>IF(A180="","",IF(AND(G180&gt;=0.70,J180&gt;=0.70,M180&gt;0),"Yes","No"))</f>
        <v/>
      </c>
      <c r="V180">
        <f>IF(A180="","",IF(AND(S180="Low Movement",M180&gt;0,P180&gt;=2),"Yes","No"))</f>
        <v/>
      </c>
      <c r="W180" s="2">
        <f>IF(T180="","",MIN(0.12,IF(T180="High Value Bundle",0.05,IF(T180="Medium Value Bundle",0.07,0.10))+IF(P180&gt;=8,0.02,0)))</f>
        <v/>
      </c>
      <c r="X180">
        <f>IF(U180="Yes",C180&amp;"|anchor","")</f>
        <v/>
      </c>
      <c r="Y180">
        <f>IF(U180="Yes",B180,"")</f>
        <v/>
      </c>
    </row>
    <row r="181">
      <c r="A181">
        <f>Input_Data!C181</f>
        <v/>
      </c>
      <c r="B181">
        <f>Input_Data!A181</f>
        <v/>
      </c>
      <c r="C181">
        <f>Input_Data!B181</f>
        <v/>
      </c>
      <c r="D181">
        <f>Input_Data!D181</f>
        <v/>
      </c>
      <c r="E181">
        <f>IF(A181="","",SUM(Input_Data!E181:H181))</f>
        <v/>
      </c>
      <c r="F181">
        <f>IF(E181="","",E181/4)</f>
        <v/>
      </c>
      <c r="G181" s="2">
        <f>IF(E181="","",IF(COUNTA($E$2:$E$300)&lt;=1,0,PERCENTRANK.INC($E$2:$E$300,E181)))</f>
        <v/>
      </c>
      <c r="H181" s="2">
        <f>IF(G181="","",1-G181)</f>
        <v/>
      </c>
      <c r="I181" s="2">
        <f>Input_Data!I181</f>
        <v/>
      </c>
      <c r="J181" s="2">
        <f>IF(I181="","",IF(COUNTA($I$2:$I$300)&lt;=1,0,PERCENTRANK.INC($I$2:$I$300,I181)))</f>
        <v/>
      </c>
      <c r="K181">
        <f>Input_Data!J181</f>
        <v/>
      </c>
      <c r="L181">
        <f>Input_Data!K181</f>
        <v/>
      </c>
      <c r="M181">
        <f>Input_Data!L181</f>
        <v/>
      </c>
      <c r="N181">
        <f>IF(K181="","",K181-L181)</f>
        <v/>
      </c>
      <c r="O181">
        <f>IF(A181="","",IF(ABS(M181-N181)&lt;=1,"OK","CHECK"))</f>
        <v/>
      </c>
      <c r="P181">
        <f>IF(M181="","",IF(F181=0,99,M181/F181))</f>
        <v/>
      </c>
      <c r="Q181" s="2">
        <f>IF(P181="","",IF(COUNTA($P$2:$P$300)&lt;=1,0,PERCENTRANK.INC($P$2:$P$300,P181)))</f>
        <v/>
      </c>
      <c r="R181" s="2">
        <f>IF(A181="","",0.45*H181+0.35*Q181+0.20*J181)</f>
        <v/>
      </c>
      <c r="S181">
        <f>IF(G181="","",IF(G181&lt;=0.33,"Low Movement",IF(G181&lt;=0.66,"Medium Movement","High Movement")))</f>
        <v/>
      </c>
      <c r="T181">
        <f>IF(R181="","",IF(R181&gt;=0.67,"High Value Bundle",IF(R181&gt;=0.34,"Medium Value Bundle","Low Value Bundle")))</f>
        <v/>
      </c>
      <c r="U181">
        <f>IF(A181="","",IF(AND(G181&gt;=0.70,J181&gt;=0.70,M181&gt;0),"Yes","No"))</f>
        <v/>
      </c>
      <c r="V181">
        <f>IF(A181="","",IF(AND(S181="Low Movement",M181&gt;0,P181&gt;=2),"Yes","No"))</f>
        <v/>
      </c>
      <c r="W181" s="2">
        <f>IF(T181="","",MIN(0.12,IF(T181="High Value Bundle",0.05,IF(T181="Medium Value Bundle",0.07,0.10))+IF(P181&gt;=8,0.02,0)))</f>
        <v/>
      </c>
      <c r="X181">
        <f>IF(U181="Yes",C181&amp;"|anchor","")</f>
        <v/>
      </c>
      <c r="Y181">
        <f>IF(U181="Yes",B181,"")</f>
        <v/>
      </c>
    </row>
    <row r="182">
      <c r="A182">
        <f>Input_Data!C182</f>
        <v/>
      </c>
      <c r="B182">
        <f>Input_Data!A182</f>
        <v/>
      </c>
      <c r="C182">
        <f>Input_Data!B182</f>
        <v/>
      </c>
      <c r="D182">
        <f>Input_Data!D182</f>
        <v/>
      </c>
      <c r="E182">
        <f>IF(A182="","",SUM(Input_Data!E182:H182))</f>
        <v/>
      </c>
      <c r="F182">
        <f>IF(E182="","",E182/4)</f>
        <v/>
      </c>
      <c r="G182" s="2">
        <f>IF(E182="","",IF(COUNTA($E$2:$E$300)&lt;=1,0,PERCENTRANK.INC($E$2:$E$300,E182)))</f>
        <v/>
      </c>
      <c r="H182" s="2">
        <f>IF(G182="","",1-G182)</f>
        <v/>
      </c>
      <c r="I182" s="2">
        <f>Input_Data!I182</f>
        <v/>
      </c>
      <c r="J182" s="2">
        <f>IF(I182="","",IF(COUNTA($I$2:$I$300)&lt;=1,0,PERCENTRANK.INC($I$2:$I$300,I182)))</f>
        <v/>
      </c>
      <c r="K182">
        <f>Input_Data!J182</f>
        <v/>
      </c>
      <c r="L182">
        <f>Input_Data!K182</f>
        <v/>
      </c>
      <c r="M182">
        <f>Input_Data!L182</f>
        <v/>
      </c>
      <c r="N182">
        <f>IF(K182="","",K182-L182)</f>
        <v/>
      </c>
      <c r="O182">
        <f>IF(A182="","",IF(ABS(M182-N182)&lt;=1,"OK","CHECK"))</f>
        <v/>
      </c>
      <c r="P182">
        <f>IF(M182="","",IF(F182=0,99,M182/F182))</f>
        <v/>
      </c>
      <c r="Q182" s="2">
        <f>IF(P182="","",IF(COUNTA($P$2:$P$300)&lt;=1,0,PERCENTRANK.INC($P$2:$P$300,P182)))</f>
        <v/>
      </c>
      <c r="R182" s="2">
        <f>IF(A182="","",0.45*H182+0.35*Q182+0.20*J182)</f>
        <v/>
      </c>
      <c r="S182">
        <f>IF(G182="","",IF(G182&lt;=0.33,"Low Movement",IF(G182&lt;=0.66,"Medium Movement","High Movement")))</f>
        <v/>
      </c>
      <c r="T182">
        <f>IF(R182="","",IF(R182&gt;=0.67,"High Value Bundle",IF(R182&gt;=0.34,"Medium Value Bundle","Low Value Bundle")))</f>
        <v/>
      </c>
      <c r="U182">
        <f>IF(A182="","",IF(AND(G182&gt;=0.70,J182&gt;=0.70,M182&gt;0),"Yes","No"))</f>
        <v/>
      </c>
      <c r="V182">
        <f>IF(A182="","",IF(AND(S182="Low Movement",M182&gt;0,P182&gt;=2),"Yes","No"))</f>
        <v/>
      </c>
      <c r="W182" s="2">
        <f>IF(T182="","",MIN(0.12,IF(T182="High Value Bundle",0.05,IF(T182="Medium Value Bundle",0.07,0.10))+IF(P182&gt;=8,0.02,0)))</f>
        <v/>
      </c>
      <c r="X182">
        <f>IF(U182="Yes",C182&amp;"|anchor","")</f>
        <v/>
      </c>
      <c r="Y182">
        <f>IF(U182="Yes",B182,"")</f>
        <v/>
      </c>
    </row>
    <row r="183">
      <c r="A183">
        <f>Input_Data!C183</f>
        <v/>
      </c>
      <c r="B183">
        <f>Input_Data!A183</f>
        <v/>
      </c>
      <c r="C183">
        <f>Input_Data!B183</f>
        <v/>
      </c>
      <c r="D183">
        <f>Input_Data!D183</f>
        <v/>
      </c>
      <c r="E183">
        <f>IF(A183="","",SUM(Input_Data!E183:H183))</f>
        <v/>
      </c>
      <c r="F183">
        <f>IF(E183="","",E183/4)</f>
        <v/>
      </c>
      <c r="G183" s="2">
        <f>IF(E183="","",IF(COUNTA($E$2:$E$300)&lt;=1,0,PERCENTRANK.INC($E$2:$E$300,E183)))</f>
        <v/>
      </c>
      <c r="H183" s="2">
        <f>IF(G183="","",1-G183)</f>
        <v/>
      </c>
      <c r="I183" s="2">
        <f>Input_Data!I183</f>
        <v/>
      </c>
      <c r="J183" s="2">
        <f>IF(I183="","",IF(COUNTA($I$2:$I$300)&lt;=1,0,PERCENTRANK.INC($I$2:$I$300,I183)))</f>
        <v/>
      </c>
      <c r="K183">
        <f>Input_Data!J183</f>
        <v/>
      </c>
      <c r="L183">
        <f>Input_Data!K183</f>
        <v/>
      </c>
      <c r="M183">
        <f>Input_Data!L183</f>
        <v/>
      </c>
      <c r="N183">
        <f>IF(K183="","",K183-L183)</f>
        <v/>
      </c>
      <c r="O183">
        <f>IF(A183="","",IF(ABS(M183-N183)&lt;=1,"OK","CHECK"))</f>
        <v/>
      </c>
      <c r="P183">
        <f>IF(M183="","",IF(F183=0,99,M183/F183))</f>
        <v/>
      </c>
      <c r="Q183" s="2">
        <f>IF(P183="","",IF(COUNTA($P$2:$P$300)&lt;=1,0,PERCENTRANK.INC($P$2:$P$300,P183)))</f>
        <v/>
      </c>
      <c r="R183" s="2">
        <f>IF(A183="","",0.45*H183+0.35*Q183+0.20*J183)</f>
        <v/>
      </c>
      <c r="S183">
        <f>IF(G183="","",IF(G183&lt;=0.33,"Low Movement",IF(G183&lt;=0.66,"Medium Movement","High Movement")))</f>
        <v/>
      </c>
      <c r="T183">
        <f>IF(R183="","",IF(R183&gt;=0.67,"High Value Bundle",IF(R183&gt;=0.34,"Medium Value Bundle","Low Value Bundle")))</f>
        <v/>
      </c>
      <c r="U183">
        <f>IF(A183="","",IF(AND(G183&gt;=0.70,J183&gt;=0.70,M183&gt;0),"Yes","No"))</f>
        <v/>
      </c>
      <c r="V183">
        <f>IF(A183="","",IF(AND(S183="Low Movement",M183&gt;0,P183&gt;=2),"Yes","No"))</f>
        <v/>
      </c>
      <c r="W183" s="2">
        <f>IF(T183="","",MIN(0.12,IF(T183="High Value Bundle",0.05,IF(T183="Medium Value Bundle",0.07,0.10))+IF(P183&gt;=8,0.02,0)))</f>
        <v/>
      </c>
      <c r="X183">
        <f>IF(U183="Yes",C183&amp;"|anchor","")</f>
        <v/>
      </c>
      <c r="Y183">
        <f>IF(U183="Yes",B183,"")</f>
        <v/>
      </c>
    </row>
    <row r="184">
      <c r="A184">
        <f>Input_Data!C184</f>
        <v/>
      </c>
      <c r="B184">
        <f>Input_Data!A184</f>
        <v/>
      </c>
      <c r="C184">
        <f>Input_Data!B184</f>
        <v/>
      </c>
      <c r="D184">
        <f>Input_Data!D184</f>
        <v/>
      </c>
      <c r="E184">
        <f>IF(A184="","",SUM(Input_Data!E184:H184))</f>
        <v/>
      </c>
      <c r="F184">
        <f>IF(E184="","",E184/4)</f>
        <v/>
      </c>
      <c r="G184" s="2">
        <f>IF(E184="","",IF(COUNTA($E$2:$E$300)&lt;=1,0,PERCENTRANK.INC($E$2:$E$300,E184)))</f>
        <v/>
      </c>
      <c r="H184" s="2">
        <f>IF(G184="","",1-G184)</f>
        <v/>
      </c>
      <c r="I184" s="2">
        <f>Input_Data!I184</f>
        <v/>
      </c>
      <c r="J184" s="2">
        <f>IF(I184="","",IF(COUNTA($I$2:$I$300)&lt;=1,0,PERCENTRANK.INC($I$2:$I$300,I184)))</f>
        <v/>
      </c>
      <c r="K184">
        <f>Input_Data!J184</f>
        <v/>
      </c>
      <c r="L184">
        <f>Input_Data!K184</f>
        <v/>
      </c>
      <c r="M184">
        <f>Input_Data!L184</f>
        <v/>
      </c>
      <c r="N184">
        <f>IF(K184="","",K184-L184)</f>
        <v/>
      </c>
      <c r="O184">
        <f>IF(A184="","",IF(ABS(M184-N184)&lt;=1,"OK","CHECK"))</f>
        <v/>
      </c>
      <c r="P184">
        <f>IF(M184="","",IF(F184=0,99,M184/F184))</f>
        <v/>
      </c>
      <c r="Q184" s="2">
        <f>IF(P184="","",IF(COUNTA($P$2:$P$300)&lt;=1,0,PERCENTRANK.INC($P$2:$P$300,P184)))</f>
        <v/>
      </c>
      <c r="R184" s="2">
        <f>IF(A184="","",0.45*H184+0.35*Q184+0.20*J184)</f>
        <v/>
      </c>
      <c r="S184">
        <f>IF(G184="","",IF(G184&lt;=0.33,"Low Movement",IF(G184&lt;=0.66,"Medium Movement","High Movement")))</f>
        <v/>
      </c>
      <c r="T184">
        <f>IF(R184="","",IF(R184&gt;=0.67,"High Value Bundle",IF(R184&gt;=0.34,"Medium Value Bundle","Low Value Bundle")))</f>
        <v/>
      </c>
      <c r="U184">
        <f>IF(A184="","",IF(AND(G184&gt;=0.70,J184&gt;=0.70,M184&gt;0),"Yes","No"))</f>
        <v/>
      </c>
      <c r="V184">
        <f>IF(A184="","",IF(AND(S184="Low Movement",M184&gt;0,P184&gt;=2),"Yes","No"))</f>
        <v/>
      </c>
      <c r="W184" s="2">
        <f>IF(T184="","",MIN(0.12,IF(T184="High Value Bundle",0.05,IF(T184="Medium Value Bundle",0.07,0.10))+IF(P184&gt;=8,0.02,0)))</f>
        <v/>
      </c>
      <c r="X184">
        <f>IF(U184="Yes",C184&amp;"|anchor","")</f>
        <v/>
      </c>
      <c r="Y184">
        <f>IF(U184="Yes",B184,"")</f>
        <v/>
      </c>
    </row>
    <row r="185">
      <c r="A185">
        <f>Input_Data!C185</f>
        <v/>
      </c>
      <c r="B185">
        <f>Input_Data!A185</f>
        <v/>
      </c>
      <c r="C185">
        <f>Input_Data!B185</f>
        <v/>
      </c>
      <c r="D185">
        <f>Input_Data!D185</f>
        <v/>
      </c>
      <c r="E185">
        <f>IF(A185="","",SUM(Input_Data!E185:H185))</f>
        <v/>
      </c>
      <c r="F185">
        <f>IF(E185="","",E185/4)</f>
        <v/>
      </c>
      <c r="G185" s="2">
        <f>IF(E185="","",IF(COUNTA($E$2:$E$300)&lt;=1,0,PERCENTRANK.INC($E$2:$E$300,E185)))</f>
        <v/>
      </c>
      <c r="H185" s="2">
        <f>IF(G185="","",1-G185)</f>
        <v/>
      </c>
      <c r="I185" s="2">
        <f>Input_Data!I185</f>
        <v/>
      </c>
      <c r="J185" s="2">
        <f>IF(I185="","",IF(COUNTA($I$2:$I$300)&lt;=1,0,PERCENTRANK.INC($I$2:$I$300,I185)))</f>
        <v/>
      </c>
      <c r="K185">
        <f>Input_Data!J185</f>
        <v/>
      </c>
      <c r="L185">
        <f>Input_Data!K185</f>
        <v/>
      </c>
      <c r="M185">
        <f>Input_Data!L185</f>
        <v/>
      </c>
      <c r="N185">
        <f>IF(K185="","",K185-L185)</f>
        <v/>
      </c>
      <c r="O185">
        <f>IF(A185="","",IF(ABS(M185-N185)&lt;=1,"OK","CHECK"))</f>
        <v/>
      </c>
      <c r="P185">
        <f>IF(M185="","",IF(F185=0,99,M185/F185))</f>
        <v/>
      </c>
      <c r="Q185" s="2">
        <f>IF(P185="","",IF(COUNTA($P$2:$P$300)&lt;=1,0,PERCENTRANK.INC($P$2:$P$300,P185)))</f>
        <v/>
      </c>
      <c r="R185" s="2">
        <f>IF(A185="","",0.45*H185+0.35*Q185+0.20*J185)</f>
        <v/>
      </c>
      <c r="S185">
        <f>IF(G185="","",IF(G185&lt;=0.33,"Low Movement",IF(G185&lt;=0.66,"Medium Movement","High Movement")))</f>
        <v/>
      </c>
      <c r="T185">
        <f>IF(R185="","",IF(R185&gt;=0.67,"High Value Bundle",IF(R185&gt;=0.34,"Medium Value Bundle","Low Value Bundle")))</f>
        <v/>
      </c>
      <c r="U185">
        <f>IF(A185="","",IF(AND(G185&gt;=0.70,J185&gt;=0.70,M185&gt;0),"Yes","No"))</f>
        <v/>
      </c>
      <c r="V185">
        <f>IF(A185="","",IF(AND(S185="Low Movement",M185&gt;0,P185&gt;=2),"Yes","No"))</f>
        <v/>
      </c>
      <c r="W185" s="2">
        <f>IF(T185="","",MIN(0.12,IF(T185="High Value Bundle",0.05,IF(T185="Medium Value Bundle",0.07,0.10))+IF(P185&gt;=8,0.02,0)))</f>
        <v/>
      </c>
      <c r="X185">
        <f>IF(U185="Yes",C185&amp;"|anchor","")</f>
        <v/>
      </c>
      <c r="Y185">
        <f>IF(U185="Yes",B185,"")</f>
        <v/>
      </c>
    </row>
    <row r="186">
      <c r="A186">
        <f>Input_Data!C186</f>
        <v/>
      </c>
      <c r="B186">
        <f>Input_Data!A186</f>
        <v/>
      </c>
      <c r="C186">
        <f>Input_Data!B186</f>
        <v/>
      </c>
      <c r="D186">
        <f>Input_Data!D186</f>
        <v/>
      </c>
      <c r="E186">
        <f>IF(A186="","",SUM(Input_Data!E186:H186))</f>
        <v/>
      </c>
      <c r="F186">
        <f>IF(E186="","",E186/4)</f>
        <v/>
      </c>
      <c r="G186" s="2">
        <f>IF(E186="","",IF(COUNTA($E$2:$E$300)&lt;=1,0,PERCENTRANK.INC($E$2:$E$300,E186)))</f>
        <v/>
      </c>
      <c r="H186" s="2">
        <f>IF(G186="","",1-G186)</f>
        <v/>
      </c>
      <c r="I186" s="2">
        <f>Input_Data!I186</f>
        <v/>
      </c>
      <c r="J186" s="2">
        <f>IF(I186="","",IF(COUNTA($I$2:$I$300)&lt;=1,0,PERCENTRANK.INC($I$2:$I$300,I186)))</f>
        <v/>
      </c>
      <c r="K186">
        <f>Input_Data!J186</f>
        <v/>
      </c>
      <c r="L186">
        <f>Input_Data!K186</f>
        <v/>
      </c>
      <c r="M186">
        <f>Input_Data!L186</f>
        <v/>
      </c>
      <c r="N186">
        <f>IF(K186="","",K186-L186)</f>
        <v/>
      </c>
      <c r="O186">
        <f>IF(A186="","",IF(ABS(M186-N186)&lt;=1,"OK","CHECK"))</f>
        <v/>
      </c>
      <c r="P186">
        <f>IF(M186="","",IF(F186=0,99,M186/F186))</f>
        <v/>
      </c>
      <c r="Q186" s="2">
        <f>IF(P186="","",IF(COUNTA($P$2:$P$300)&lt;=1,0,PERCENTRANK.INC($P$2:$P$300,P186)))</f>
        <v/>
      </c>
      <c r="R186" s="2">
        <f>IF(A186="","",0.45*H186+0.35*Q186+0.20*J186)</f>
        <v/>
      </c>
      <c r="S186">
        <f>IF(G186="","",IF(G186&lt;=0.33,"Low Movement",IF(G186&lt;=0.66,"Medium Movement","High Movement")))</f>
        <v/>
      </c>
      <c r="T186">
        <f>IF(R186="","",IF(R186&gt;=0.67,"High Value Bundle",IF(R186&gt;=0.34,"Medium Value Bundle","Low Value Bundle")))</f>
        <v/>
      </c>
      <c r="U186">
        <f>IF(A186="","",IF(AND(G186&gt;=0.70,J186&gt;=0.70,M186&gt;0),"Yes","No"))</f>
        <v/>
      </c>
      <c r="V186">
        <f>IF(A186="","",IF(AND(S186="Low Movement",M186&gt;0,P186&gt;=2),"Yes","No"))</f>
        <v/>
      </c>
      <c r="W186" s="2">
        <f>IF(T186="","",MIN(0.12,IF(T186="High Value Bundle",0.05,IF(T186="Medium Value Bundle",0.07,0.10))+IF(P186&gt;=8,0.02,0)))</f>
        <v/>
      </c>
      <c r="X186">
        <f>IF(U186="Yes",C186&amp;"|anchor","")</f>
        <v/>
      </c>
      <c r="Y186">
        <f>IF(U186="Yes",B186,"")</f>
        <v/>
      </c>
    </row>
    <row r="187">
      <c r="A187">
        <f>Input_Data!C187</f>
        <v/>
      </c>
      <c r="B187">
        <f>Input_Data!A187</f>
        <v/>
      </c>
      <c r="C187">
        <f>Input_Data!B187</f>
        <v/>
      </c>
      <c r="D187">
        <f>Input_Data!D187</f>
        <v/>
      </c>
      <c r="E187">
        <f>IF(A187="","",SUM(Input_Data!E187:H187))</f>
        <v/>
      </c>
      <c r="F187">
        <f>IF(E187="","",E187/4)</f>
        <v/>
      </c>
      <c r="G187" s="2">
        <f>IF(E187="","",IF(COUNTA($E$2:$E$300)&lt;=1,0,PERCENTRANK.INC($E$2:$E$300,E187)))</f>
        <v/>
      </c>
      <c r="H187" s="2">
        <f>IF(G187="","",1-G187)</f>
        <v/>
      </c>
      <c r="I187" s="2">
        <f>Input_Data!I187</f>
        <v/>
      </c>
      <c r="J187" s="2">
        <f>IF(I187="","",IF(COUNTA($I$2:$I$300)&lt;=1,0,PERCENTRANK.INC($I$2:$I$300,I187)))</f>
        <v/>
      </c>
      <c r="K187">
        <f>Input_Data!J187</f>
        <v/>
      </c>
      <c r="L187">
        <f>Input_Data!K187</f>
        <v/>
      </c>
      <c r="M187">
        <f>Input_Data!L187</f>
        <v/>
      </c>
      <c r="N187">
        <f>IF(K187="","",K187-L187)</f>
        <v/>
      </c>
      <c r="O187">
        <f>IF(A187="","",IF(ABS(M187-N187)&lt;=1,"OK","CHECK"))</f>
        <v/>
      </c>
      <c r="P187">
        <f>IF(M187="","",IF(F187=0,99,M187/F187))</f>
        <v/>
      </c>
      <c r="Q187" s="2">
        <f>IF(P187="","",IF(COUNTA($P$2:$P$300)&lt;=1,0,PERCENTRANK.INC($P$2:$P$300,P187)))</f>
        <v/>
      </c>
      <c r="R187" s="2">
        <f>IF(A187="","",0.45*H187+0.35*Q187+0.20*J187)</f>
        <v/>
      </c>
      <c r="S187">
        <f>IF(G187="","",IF(G187&lt;=0.33,"Low Movement",IF(G187&lt;=0.66,"Medium Movement","High Movement")))</f>
        <v/>
      </c>
      <c r="T187">
        <f>IF(R187="","",IF(R187&gt;=0.67,"High Value Bundle",IF(R187&gt;=0.34,"Medium Value Bundle","Low Value Bundle")))</f>
        <v/>
      </c>
      <c r="U187">
        <f>IF(A187="","",IF(AND(G187&gt;=0.70,J187&gt;=0.70,M187&gt;0),"Yes","No"))</f>
        <v/>
      </c>
      <c r="V187">
        <f>IF(A187="","",IF(AND(S187="Low Movement",M187&gt;0,P187&gt;=2),"Yes","No"))</f>
        <v/>
      </c>
      <c r="W187" s="2">
        <f>IF(T187="","",MIN(0.12,IF(T187="High Value Bundle",0.05,IF(T187="Medium Value Bundle",0.07,0.10))+IF(P187&gt;=8,0.02,0)))</f>
        <v/>
      </c>
      <c r="X187">
        <f>IF(U187="Yes",C187&amp;"|anchor","")</f>
        <v/>
      </c>
      <c r="Y187">
        <f>IF(U187="Yes",B187,"")</f>
        <v/>
      </c>
    </row>
    <row r="188">
      <c r="A188">
        <f>Input_Data!C188</f>
        <v/>
      </c>
      <c r="B188">
        <f>Input_Data!A188</f>
        <v/>
      </c>
      <c r="C188">
        <f>Input_Data!B188</f>
        <v/>
      </c>
      <c r="D188">
        <f>Input_Data!D188</f>
        <v/>
      </c>
      <c r="E188">
        <f>IF(A188="","",SUM(Input_Data!E188:H188))</f>
        <v/>
      </c>
      <c r="F188">
        <f>IF(E188="","",E188/4)</f>
        <v/>
      </c>
      <c r="G188" s="2">
        <f>IF(E188="","",IF(COUNTA($E$2:$E$300)&lt;=1,0,PERCENTRANK.INC($E$2:$E$300,E188)))</f>
        <v/>
      </c>
      <c r="H188" s="2">
        <f>IF(G188="","",1-G188)</f>
        <v/>
      </c>
      <c r="I188" s="2">
        <f>Input_Data!I188</f>
        <v/>
      </c>
      <c r="J188" s="2">
        <f>IF(I188="","",IF(COUNTA($I$2:$I$300)&lt;=1,0,PERCENTRANK.INC($I$2:$I$300,I188)))</f>
        <v/>
      </c>
      <c r="K188">
        <f>Input_Data!J188</f>
        <v/>
      </c>
      <c r="L188">
        <f>Input_Data!K188</f>
        <v/>
      </c>
      <c r="M188">
        <f>Input_Data!L188</f>
        <v/>
      </c>
      <c r="N188">
        <f>IF(K188="","",K188-L188)</f>
        <v/>
      </c>
      <c r="O188">
        <f>IF(A188="","",IF(ABS(M188-N188)&lt;=1,"OK","CHECK"))</f>
        <v/>
      </c>
      <c r="P188">
        <f>IF(M188="","",IF(F188=0,99,M188/F188))</f>
        <v/>
      </c>
      <c r="Q188" s="2">
        <f>IF(P188="","",IF(COUNTA($P$2:$P$300)&lt;=1,0,PERCENTRANK.INC($P$2:$P$300,P188)))</f>
        <v/>
      </c>
      <c r="R188" s="2">
        <f>IF(A188="","",0.45*H188+0.35*Q188+0.20*J188)</f>
        <v/>
      </c>
      <c r="S188">
        <f>IF(G188="","",IF(G188&lt;=0.33,"Low Movement",IF(G188&lt;=0.66,"Medium Movement","High Movement")))</f>
        <v/>
      </c>
      <c r="T188">
        <f>IF(R188="","",IF(R188&gt;=0.67,"High Value Bundle",IF(R188&gt;=0.34,"Medium Value Bundle","Low Value Bundle")))</f>
        <v/>
      </c>
      <c r="U188">
        <f>IF(A188="","",IF(AND(G188&gt;=0.70,J188&gt;=0.70,M188&gt;0),"Yes","No"))</f>
        <v/>
      </c>
      <c r="V188">
        <f>IF(A188="","",IF(AND(S188="Low Movement",M188&gt;0,P188&gt;=2),"Yes","No"))</f>
        <v/>
      </c>
      <c r="W188" s="2">
        <f>IF(T188="","",MIN(0.12,IF(T188="High Value Bundle",0.05,IF(T188="Medium Value Bundle",0.07,0.10))+IF(P188&gt;=8,0.02,0)))</f>
        <v/>
      </c>
      <c r="X188">
        <f>IF(U188="Yes",C188&amp;"|anchor","")</f>
        <v/>
      </c>
      <c r="Y188">
        <f>IF(U188="Yes",B188,"")</f>
        <v/>
      </c>
    </row>
    <row r="189">
      <c r="A189">
        <f>Input_Data!C189</f>
        <v/>
      </c>
      <c r="B189">
        <f>Input_Data!A189</f>
        <v/>
      </c>
      <c r="C189">
        <f>Input_Data!B189</f>
        <v/>
      </c>
      <c r="D189">
        <f>Input_Data!D189</f>
        <v/>
      </c>
      <c r="E189">
        <f>IF(A189="","",SUM(Input_Data!E189:H189))</f>
        <v/>
      </c>
      <c r="F189">
        <f>IF(E189="","",E189/4)</f>
        <v/>
      </c>
      <c r="G189" s="2">
        <f>IF(E189="","",IF(COUNTA($E$2:$E$300)&lt;=1,0,PERCENTRANK.INC($E$2:$E$300,E189)))</f>
        <v/>
      </c>
      <c r="H189" s="2">
        <f>IF(G189="","",1-G189)</f>
        <v/>
      </c>
      <c r="I189" s="2">
        <f>Input_Data!I189</f>
        <v/>
      </c>
      <c r="J189" s="2">
        <f>IF(I189="","",IF(COUNTA($I$2:$I$300)&lt;=1,0,PERCENTRANK.INC($I$2:$I$300,I189)))</f>
        <v/>
      </c>
      <c r="K189">
        <f>Input_Data!J189</f>
        <v/>
      </c>
      <c r="L189">
        <f>Input_Data!K189</f>
        <v/>
      </c>
      <c r="M189">
        <f>Input_Data!L189</f>
        <v/>
      </c>
      <c r="N189">
        <f>IF(K189="","",K189-L189)</f>
        <v/>
      </c>
      <c r="O189">
        <f>IF(A189="","",IF(ABS(M189-N189)&lt;=1,"OK","CHECK"))</f>
        <v/>
      </c>
      <c r="P189">
        <f>IF(M189="","",IF(F189=0,99,M189/F189))</f>
        <v/>
      </c>
      <c r="Q189" s="2">
        <f>IF(P189="","",IF(COUNTA($P$2:$P$300)&lt;=1,0,PERCENTRANK.INC($P$2:$P$300,P189)))</f>
        <v/>
      </c>
      <c r="R189" s="2">
        <f>IF(A189="","",0.45*H189+0.35*Q189+0.20*J189)</f>
        <v/>
      </c>
      <c r="S189">
        <f>IF(G189="","",IF(G189&lt;=0.33,"Low Movement",IF(G189&lt;=0.66,"Medium Movement","High Movement")))</f>
        <v/>
      </c>
      <c r="T189">
        <f>IF(R189="","",IF(R189&gt;=0.67,"High Value Bundle",IF(R189&gt;=0.34,"Medium Value Bundle","Low Value Bundle")))</f>
        <v/>
      </c>
      <c r="U189">
        <f>IF(A189="","",IF(AND(G189&gt;=0.70,J189&gt;=0.70,M189&gt;0),"Yes","No"))</f>
        <v/>
      </c>
      <c r="V189">
        <f>IF(A189="","",IF(AND(S189="Low Movement",M189&gt;0,P189&gt;=2),"Yes","No"))</f>
        <v/>
      </c>
      <c r="W189" s="2">
        <f>IF(T189="","",MIN(0.12,IF(T189="High Value Bundle",0.05,IF(T189="Medium Value Bundle",0.07,0.10))+IF(P189&gt;=8,0.02,0)))</f>
        <v/>
      </c>
      <c r="X189">
        <f>IF(U189="Yes",C189&amp;"|anchor","")</f>
        <v/>
      </c>
      <c r="Y189">
        <f>IF(U189="Yes",B189,"")</f>
        <v/>
      </c>
    </row>
    <row r="190">
      <c r="A190">
        <f>Input_Data!C190</f>
        <v/>
      </c>
      <c r="B190">
        <f>Input_Data!A190</f>
        <v/>
      </c>
      <c r="C190">
        <f>Input_Data!B190</f>
        <v/>
      </c>
      <c r="D190">
        <f>Input_Data!D190</f>
        <v/>
      </c>
      <c r="E190">
        <f>IF(A190="","",SUM(Input_Data!E190:H190))</f>
        <v/>
      </c>
      <c r="F190">
        <f>IF(E190="","",E190/4)</f>
        <v/>
      </c>
      <c r="G190" s="2">
        <f>IF(E190="","",IF(COUNTA($E$2:$E$300)&lt;=1,0,PERCENTRANK.INC($E$2:$E$300,E190)))</f>
        <v/>
      </c>
      <c r="H190" s="2">
        <f>IF(G190="","",1-G190)</f>
        <v/>
      </c>
      <c r="I190" s="2">
        <f>Input_Data!I190</f>
        <v/>
      </c>
      <c r="J190" s="2">
        <f>IF(I190="","",IF(COUNTA($I$2:$I$300)&lt;=1,0,PERCENTRANK.INC($I$2:$I$300,I190)))</f>
        <v/>
      </c>
      <c r="K190">
        <f>Input_Data!J190</f>
        <v/>
      </c>
      <c r="L190">
        <f>Input_Data!K190</f>
        <v/>
      </c>
      <c r="M190">
        <f>Input_Data!L190</f>
        <v/>
      </c>
      <c r="N190">
        <f>IF(K190="","",K190-L190)</f>
        <v/>
      </c>
      <c r="O190">
        <f>IF(A190="","",IF(ABS(M190-N190)&lt;=1,"OK","CHECK"))</f>
        <v/>
      </c>
      <c r="P190">
        <f>IF(M190="","",IF(F190=0,99,M190/F190))</f>
        <v/>
      </c>
      <c r="Q190" s="2">
        <f>IF(P190="","",IF(COUNTA($P$2:$P$300)&lt;=1,0,PERCENTRANK.INC($P$2:$P$300,P190)))</f>
        <v/>
      </c>
      <c r="R190" s="2">
        <f>IF(A190="","",0.45*H190+0.35*Q190+0.20*J190)</f>
        <v/>
      </c>
      <c r="S190">
        <f>IF(G190="","",IF(G190&lt;=0.33,"Low Movement",IF(G190&lt;=0.66,"Medium Movement","High Movement")))</f>
        <v/>
      </c>
      <c r="T190">
        <f>IF(R190="","",IF(R190&gt;=0.67,"High Value Bundle",IF(R190&gt;=0.34,"Medium Value Bundle","Low Value Bundle")))</f>
        <v/>
      </c>
      <c r="U190">
        <f>IF(A190="","",IF(AND(G190&gt;=0.70,J190&gt;=0.70,M190&gt;0),"Yes","No"))</f>
        <v/>
      </c>
      <c r="V190">
        <f>IF(A190="","",IF(AND(S190="Low Movement",M190&gt;0,P190&gt;=2),"Yes","No"))</f>
        <v/>
      </c>
      <c r="W190" s="2">
        <f>IF(T190="","",MIN(0.12,IF(T190="High Value Bundle",0.05,IF(T190="Medium Value Bundle",0.07,0.10))+IF(P190&gt;=8,0.02,0)))</f>
        <v/>
      </c>
      <c r="X190">
        <f>IF(U190="Yes",C190&amp;"|anchor","")</f>
        <v/>
      </c>
      <c r="Y190">
        <f>IF(U190="Yes",B190,"")</f>
        <v/>
      </c>
    </row>
    <row r="191">
      <c r="A191">
        <f>Input_Data!C191</f>
        <v/>
      </c>
      <c r="B191">
        <f>Input_Data!A191</f>
        <v/>
      </c>
      <c r="C191">
        <f>Input_Data!B191</f>
        <v/>
      </c>
      <c r="D191">
        <f>Input_Data!D191</f>
        <v/>
      </c>
      <c r="E191">
        <f>IF(A191="","",SUM(Input_Data!E191:H191))</f>
        <v/>
      </c>
      <c r="F191">
        <f>IF(E191="","",E191/4)</f>
        <v/>
      </c>
      <c r="G191" s="2">
        <f>IF(E191="","",IF(COUNTA($E$2:$E$300)&lt;=1,0,PERCENTRANK.INC($E$2:$E$300,E191)))</f>
        <v/>
      </c>
      <c r="H191" s="2">
        <f>IF(G191="","",1-G191)</f>
        <v/>
      </c>
      <c r="I191" s="2">
        <f>Input_Data!I191</f>
        <v/>
      </c>
      <c r="J191" s="2">
        <f>IF(I191="","",IF(COUNTA($I$2:$I$300)&lt;=1,0,PERCENTRANK.INC($I$2:$I$300,I191)))</f>
        <v/>
      </c>
      <c r="K191">
        <f>Input_Data!J191</f>
        <v/>
      </c>
      <c r="L191">
        <f>Input_Data!K191</f>
        <v/>
      </c>
      <c r="M191">
        <f>Input_Data!L191</f>
        <v/>
      </c>
      <c r="N191">
        <f>IF(K191="","",K191-L191)</f>
        <v/>
      </c>
      <c r="O191">
        <f>IF(A191="","",IF(ABS(M191-N191)&lt;=1,"OK","CHECK"))</f>
        <v/>
      </c>
      <c r="P191">
        <f>IF(M191="","",IF(F191=0,99,M191/F191))</f>
        <v/>
      </c>
      <c r="Q191" s="2">
        <f>IF(P191="","",IF(COUNTA($P$2:$P$300)&lt;=1,0,PERCENTRANK.INC($P$2:$P$300,P191)))</f>
        <v/>
      </c>
      <c r="R191" s="2">
        <f>IF(A191="","",0.45*H191+0.35*Q191+0.20*J191)</f>
        <v/>
      </c>
      <c r="S191">
        <f>IF(G191="","",IF(G191&lt;=0.33,"Low Movement",IF(G191&lt;=0.66,"Medium Movement","High Movement")))</f>
        <v/>
      </c>
      <c r="T191">
        <f>IF(R191="","",IF(R191&gt;=0.67,"High Value Bundle",IF(R191&gt;=0.34,"Medium Value Bundle","Low Value Bundle")))</f>
        <v/>
      </c>
      <c r="U191">
        <f>IF(A191="","",IF(AND(G191&gt;=0.70,J191&gt;=0.70,M191&gt;0),"Yes","No"))</f>
        <v/>
      </c>
      <c r="V191">
        <f>IF(A191="","",IF(AND(S191="Low Movement",M191&gt;0,P191&gt;=2),"Yes","No"))</f>
        <v/>
      </c>
      <c r="W191" s="2">
        <f>IF(T191="","",MIN(0.12,IF(T191="High Value Bundle",0.05,IF(T191="Medium Value Bundle",0.07,0.10))+IF(P191&gt;=8,0.02,0)))</f>
        <v/>
      </c>
      <c r="X191">
        <f>IF(U191="Yes",C191&amp;"|anchor","")</f>
        <v/>
      </c>
      <c r="Y191">
        <f>IF(U191="Yes",B191,"")</f>
        <v/>
      </c>
    </row>
    <row r="192">
      <c r="A192">
        <f>Input_Data!C192</f>
        <v/>
      </c>
      <c r="B192">
        <f>Input_Data!A192</f>
        <v/>
      </c>
      <c r="C192">
        <f>Input_Data!B192</f>
        <v/>
      </c>
      <c r="D192">
        <f>Input_Data!D192</f>
        <v/>
      </c>
      <c r="E192">
        <f>IF(A192="","",SUM(Input_Data!E192:H192))</f>
        <v/>
      </c>
      <c r="F192">
        <f>IF(E192="","",E192/4)</f>
        <v/>
      </c>
      <c r="G192" s="2">
        <f>IF(E192="","",IF(COUNTA($E$2:$E$300)&lt;=1,0,PERCENTRANK.INC($E$2:$E$300,E192)))</f>
        <v/>
      </c>
      <c r="H192" s="2">
        <f>IF(G192="","",1-G192)</f>
        <v/>
      </c>
      <c r="I192" s="2">
        <f>Input_Data!I192</f>
        <v/>
      </c>
      <c r="J192" s="2">
        <f>IF(I192="","",IF(COUNTA($I$2:$I$300)&lt;=1,0,PERCENTRANK.INC($I$2:$I$300,I192)))</f>
        <v/>
      </c>
      <c r="K192">
        <f>Input_Data!J192</f>
        <v/>
      </c>
      <c r="L192">
        <f>Input_Data!K192</f>
        <v/>
      </c>
      <c r="M192">
        <f>Input_Data!L192</f>
        <v/>
      </c>
      <c r="N192">
        <f>IF(K192="","",K192-L192)</f>
        <v/>
      </c>
      <c r="O192">
        <f>IF(A192="","",IF(ABS(M192-N192)&lt;=1,"OK","CHECK"))</f>
        <v/>
      </c>
      <c r="P192">
        <f>IF(M192="","",IF(F192=0,99,M192/F192))</f>
        <v/>
      </c>
      <c r="Q192" s="2">
        <f>IF(P192="","",IF(COUNTA($P$2:$P$300)&lt;=1,0,PERCENTRANK.INC($P$2:$P$300,P192)))</f>
        <v/>
      </c>
      <c r="R192" s="2">
        <f>IF(A192="","",0.45*H192+0.35*Q192+0.20*J192)</f>
        <v/>
      </c>
      <c r="S192">
        <f>IF(G192="","",IF(G192&lt;=0.33,"Low Movement",IF(G192&lt;=0.66,"Medium Movement","High Movement")))</f>
        <v/>
      </c>
      <c r="T192">
        <f>IF(R192="","",IF(R192&gt;=0.67,"High Value Bundle",IF(R192&gt;=0.34,"Medium Value Bundle","Low Value Bundle")))</f>
        <v/>
      </c>
      <c r="U192">
        <f>IF(A192="","",IF(AND(G192&gt;=0.70,J192&gt;=0.70,M192&gt;0),"Yes","No"))</f>
        <v/>
      </c>
      <c r="V192">
        <f>IF(A192="","",IF(AND(S192="Low Movement",M192&gt;0,P192&gt;=2),"Yes","No"))</f>
        <v/>
      </c>
      <c r="W192" s="2">
        <f>IF(T192="","",MIN(0.12,IF(T192="High Value Bundle",0.05,IF(T192="Medium Value Bundle",0.07,0.10))+IF(P192&gt;=8,0.02,0)))</f>
        <v/>
      </c>
      <c r="X192">
        <f>IF(U192="Yes",C192&amp;"|anchor","")</f>
        <v/>
      </c>
      <c r="Y192">
        <f>IF(U192="Yes",B192,"")</f>
        <v/>
      </c>
    </row>
    <row r="193">
      <c r="A193">
        <f>Input_Data!C193</f>
        <v/>
      </c>
      <c r="B193">
        <f>Input_Data!A193</f>
        <v/>
      </c>
      <c r="C193">
        <f>Input_Data!B193</f>
        <v/>
      </c>
      <c r="D193">
        <f>Input_Data!D193</f>
        <v/>
      </c>
      <c r="E193">
        <f>IF(A193="","",SUM(Input_Data!E193:H193))</f>
        <v/>
      </c>
      <c r="F193">
        <f>IF(E193="","",E193/4)</f>
        <v/>
      </c>
      <c r="G193" s="2">
        <f>IF(E193="","",IF(COUNTA($E$2:$E$300)&lt;=1,0,PERCENTRANK.INC($E$2:$E$300,E193)))</f>
        <v/>
      </c>
      <c r="H193" s="2">
        <f>IF(G193="","",1-G193)</f>
        <v/>
      </c>
      <c r="I193" s="2">
        <f>Input_Data!I193</f>
        <v/>
      </c>
      <c r="J193" s="2">
        <f>IF(I193="","",IF(COUNTA($I$2:$I$300)&lt;=1,0,PERCENTRANK.INC($I$2:$I$300,I193)))</f>
        <v/>
      </c>
      <c r="K193">
        <f>Input_Data!J193</f>
        <v/>
      </c>
      <c r="L193">
        <f>Input_Data!K193</f>
        <v/>
      </c>
      <c r="M193">
        <f>Input_Data!L193</f>
        <v/>
      </c>
      <c r="N193">
        <f>IF(K193="","",K193-L193)</f>
        <v/>
      </c>
      <c r="O193">
        <f>IF(A193="","",IF(ABS(M193-N193)&lt;=1,"OK","CHECK"))</f>
        <v/>
      </c>
      <c r="P193">
        <f>IF(M193="","",IF(F193=0,99,M193/F193))</f>
        <v/>
      </c>
      <c r="Q193" s="2">
        <f>IF(P193="","",IF(COUNTA($P$2:$P$300)&lt;=1,0,PERCENTRANK.INC($P$2:$P$300,P193)))</f>
        <v/>
      </c>
      <c r="R193" s="2">
        <f>IF(A193="","",0.45*H193+0.35*Q193+0.20*J193)</f>
        <v/>
      </c>
      <c r="S193">
        <f>IF(G193="","",IF(G193&lt;=0.33,"Low Movement",IF(G193&lt;=0.66,"Medium Movement","High Movement")))</f>
        <v/>
      </c>
      <c r="T193">
        <f>IF(R193="","",IF(R193&gt;=0.67,"High Value Bundle",IF(R193&gt;=0.34,"Medium Value Bundle","Low Value Bundle")))</f>
        <v/>
      </c>
      <c r="U193">
        <f>IF(A193="","",IF(AND(G193&gt;=0.70,J193&gt;=0.70,M193&gt;0),"Yes","No"))</f>
        <v/>
      </c>
      <c r="V193">
        <f>IF(A193="","",IF(AND(S193="Low Movement",M193&gt;0,P193&gt;=2),"Yes","No"))</f>
        <v/>
      </c>
      <c r="W193" s="2">
        <f>IF(T193="","",MIN(0.12,IF(T193="High Value Bundle",0.05,IF(T193="Medium Value Bundle",0.07,0.10))+IF(P193&gt;=8,0.02,0)))</f>
        <v/>
      </c>
      <c r="X193">
        <f>IF(U193="Yes",C193&amp;"|anchor","")</f>
        <v/>
      </c>
      <c r="Y193">
        <f>IF(U193="Yes",B193,"")</f>
        <v/>
      </c>
    </row>
    <row r="194">
      <c r="A194">
        <f>Input_Data!C194</f>
        <v/>
      </c>
      <c r="B194">
        <f>Input_Data!A194</f>
        <v/>
      </c>
      <c r="C194">
        <f>Input_Data!B194</f>
        <v/>
      </c>
      <c r="D194">
        <f>Input_Data!D194</f>
        <v/>
      </c>
      <c r="E194">
        <f>IF(A194="","",SUM(Input_Data!E194:H194))</f>
        <v/>
      </c>
      <c r="F194">
        <f>IF(E194="","",E194/4)</f>
        <v/>
      </c>
      <c r="G194" s="2">
        <f>IF(E194="","",IF(COUNTA($E$2:$E$300)&lt;=1,0,PERCENTRANK.INC($E$2:$E$300,E194)))</f>
        <v/>
      </c>
      <c r="H194" s="2">
        <f>IF(G194="","",1-G194)</f>
        <v/>
      </c>
      <c r="I194" s="2">
        <f>Input_Data!I194</f>
        <v/>
      </c>
      <c r="J194" s="2">
        <f>IF(I194="","",IF(COUNTA($I$2:$I$300)&lt;=1,0,PERCENTRANK.INC($I$2:$I$300,I194)))</f>
        <v/>
      </c>
      <c r="K194">
        <f>Input_Data!J194</f>
        <v/>
      </c>
      <c r="L194">
        <f>Input_Data!K194</f>
        <v/>
      </c>
      <c r="M194">
        <f>Input_Data!L194</f>
        <v/>
      </c>
      <c r="N194">
        <f>IF(K194="","",K194-L194)</f>
        <v/>
      </c>
      <c r="O194">
        <f>IF(A194="","",IF(ABS(M194-N194)&lt;=1,"OK","CHECK"))</f>
        <v/>
      </c>
      <c r="P194">
        <f>IF(M194="","",IF(F194=0,99,M194/F194))</f>
        <v/>
      </c>
      <c r="Q194" s="2">
        <f>IF(P194="","",IF(COUNTA($P$2:$P$300)&lt;=1,0,PERCENTRANK.INC($P$2:$P$300,P194)))</f>
        <v/>
      </c>
      <c r="R194" s="2">
        <f>IF(A194="","",0.45*H194+0.35*Q194+0.20*J194)</f>
        <v/>
      </c>
      <c r="S194">
        <f>IF(G194="","",IF(G194&lt;=0.33,"Low Movement",IF(G194&lt;=0.66,"Medium Movement","High Movement")))</f>
        <v/>
      </c>
      <c r="T194">
        <f>IF(R194="","",IF(R194&gt;=0.67,"High Value Bundle",IF(R194&gt;=0.34,"Medium Value Bundle","Low Value Bundle")))</f>
        <v/>
      </c>
      <c r="U194">
        <f>IF(A194="","",IF(AND(G194&gt;=0.70,J194&gt;=0.70,M194&gt;0),"Yes","No"))</f>
        <v/>
      </c>
      <c r="V194">
        <f>IF(A194="","",IF(AND(S194="Low Movement",M194&gt;0,P194&gt;=2),"Yes","No"))</f>
        <v/>
      </c>
      <c r="W194" s="2">
        <f>IF(T194="","",MIN(0.12,IF(T194="High Value Bundle",0.05,IF(T194="Medium Value Bundle",0.07,0.10))+IF(P194&gt;=8,0.02,0)))</f>
        <v/>
      </c>
      <c r="X194">
        <f>IF(U194="Yes",C194&amp;"|anchor","")</f>
        <v/>
      </c>
      <c r="Y194">
        <f>IF(U194="Yes",B194,"")</f>
        <v/>
      </c>
    </row>
    <row r="195">
      <c r="A195">
        <f>Input_Data!C195</f>
        <v/>
      </c>
      <c r="B195">
        <f>Input_Data!A195</f>
        <v/>
      </c>
      <c r="C195">
        <f>Input_Data!B195</f>
        <v/>
      </c>
      <c r="D195">
        <f>Input_Data!D195</f>
        <v/>
      </c>
      <c r="E195">
        <f>IF(A195="","",SUM(Input_Data!E195:H195))</f>
        <v/>
      </c>
      <c r="F195">
        <f>IF(E195="","",E195/4)</f>
        <v/>
      </c>
      <c r="G195" s="2">
        <f>IF(E195="","",IF(COUNTA($E$2:$E$300)&lt;=1,0,PERCENTRANK.INC($E$2:$E$300,E195)))</f>
        <v/>
      </c>
      <c r="H195" s="2">
        <f>IF(G195="","",1-G195)</f>
        <v/>
      </c>
      <c r="I195" s="2">
        <f>Input_Data!I195</f>
        <v/>
      </c>
      <c r="J195" s="2">
        <f>IF(I195="","",IF(COUNTA($I$2:$I$300)&lt;=1,0,PERCENTRANK.INC($I$2:$I$300,I195)))</f>
        <v/>
      </c>
      <c r="K195">
        <f>Input_Data!J195</f>
        <v/>
      </c>
      <c r="L195">
        <f>Input_Data!K195</f>
        <v/>
      </c>
      <c r="M195">
        <f>Input_Data!L195</f>
        <v/>
      </c>
      <c r="N195">
        <f>IF(K195="","",K195-L195)</f>
        <v/>
      </c>
      <c r="O195">
        <f>IF(A195="","",IF(ABS(M195-N195)&lt;=1,"OK","CHECK"))</f>
        <v/>
      </c>
      <c r="P195">
        <f>IF(M195="","",IF(F195=0,99,M195/F195))</f>
        <v/>
      </c>
      <c r="Q195" s="2">
        <f>IF(P195="","",IF(COUNTA($P$2:$P$300)&lt;=1,0,PERCENTRANK.INC($P$2:$P$300,P195)))</f>
        <v/>
      </c>
      <c r="R195" s="2">
        <f>IF(A195="","",0.45*H195+0.35*Q195+0.20*J195)</f>
        <v/>
      </c>
      <c r="S195">
        <f>IF(G195="","",IF(G195&lt;=0.33,"Low Movement",IF(G195&lt;=0.66,"Medium Movement","High Movement")))</f>
        <v/>
      </c>
      <c r="T195">
        <f>IF(R195="","",IF(R195&gt;=0.67,"High Value Bundle",IF(R195&gt;=0.34,"Medium Value Bundle","Low Value Bundle")))</f>
        <v/>
      </c>
      <c r="U195">
        <f>IF(A195="","",IF(AND(G195&gt;=0.70,J195&gt;=0.70,M195&gt;0),"Yes","No"))</f>
        <v/>
      </c>
      <c r="V195">
        <f>IF(A195="","",IF(AND(S195="Low Movement",M195&gt;0,P195&gt;=2),"Yes","No"))</f>
        <v/>
      </c>
      <c r="W195" s="2">
        <f>IF(T195="","",MIN(0.12,IF(T195="High Value Bundle",0.05,IF(T195="Medium Value Bundle",0.07,0.10))+IF(P195&gt;=8,0.02,0)))</f>
        <v/>
      </c>
      <c r="X195">
        <f>IF(U195="Yes",C195&amp;"|anchor","")</f>
        <v/>
      </c>
      <c r="Y195">
        <f>IF(U195="Yes",B195,"")</f>
        <v/>
      </c>
    </row>
    <row r="196">
      <c r="A196">
        <f>Input_Data!C196</f>
        <v/>
      </c>
      <c r="B196">
        <f>Input_Data!A196</f>
        <v/>
      </c>
      <c r="C196">
        <f>Input_Data!B196</f>
        <v/>
      </c>
      <c r="D196">
        <f>Input_Data!D196</f>
        <v/>
      </c>
      <c r="E196">
        <f>IF(A196="","",SUM(Input_Data!E196:H196))</f>
        <v/>
      </c>
      <c r="F196">
        <f>IF(E196="","",E196/4)</f>
        <v/>
      </c>
      <c r="G196" s="2">
        <f>IF(E196="","",IF(COUNTA($E$2:$E$300)&lt;=1,0,PERCENTRANK.INC($E$2:$E$300,E196)))</f>
        <v/>
      </c>
      <c r="H196" s="2">
        <f>IF(G196="","",1-G196)</f>
        <v/>
      </c>
      <c r="I196" s="2">
        <f>Input_Data!I196</f>
        <v/>
      </c>
      <c r="J196" s="2">
        <f>IF(I196="","",IF(COUNTA($I$2:$I$300)&lt;=1,0,PERCENTRANK.INC($I$2:$I$300,I196)))</f>
        <v/>
      </c>
      <c r="K196">
        <f>Input_Data!J196</f>
        <v/>
      </c>
      <c r="L196">
        <f>Input_Data!K196</f>
        <v/>
      </c>
      <c r="M196">
        <f>Input_Data!L196</f>
        <v/>
      </c>
      <c r="N196">
        <f>IF(K196="","",K196-L196)</f>
        <v/>
      </c>
      <c r="O196">
        <f>IF(A196="","",IF(ABS(M196-N196)&lt;=1,"OK","CHECK"))</f>
        <v/>
      </c>
      <c r="P196">
        <f>IF(M196="","",IF(F196=0,99,M196/F196))</f>
        <v/>
      </c>
      <c r="Q196" s="2">
        <f>IF(P196="","",IF(COUNTA($P$2:$P$300)&lt;=1,0,PERCENTRANK.INC($P$2:$P$300,P196)))</f>
        <v/>
      </c>
      <c r="R196" s="2">
        <f>IF(A196="","",0.45*H196+0.35*Q196+0.20*J196)</f>
        <v/>
      </c>
      <c r="S196">
        <f>IF(G196="","",IF(G196&lt;=0.33,"Low Movement",IF(G196&lt;=0.66,"Medium Movement","High Movement")))</f>
        <v/>
      </c>
      <c r="T196">
        <f>IF(R196="","",IF(R196&gt;=0.67,"High Value Bundle",IF(R196&gt;=0.34,"Medium Value Bundle","Low Value Bundle")))</f>
        <v/>
      </c>
      <c r="U196">
        <f>IF(A196="","",IF(AND(G196&gt;=0.70,J196&gt;=0.70,M196&gt;0),"Yes","No"))</f>
        <v/>
      </c>
      <c r="V196">
        <f>IF(A196="","",IF(AND(S196="Low Movement",M196&gt;0,P196&gt;=2),"Yes","No"))</f>
        <v/>
      </c>
      <c r="W196" s="2">
        <f>IF(T196="","",MIN(0.12,IF(T196="High Value Bundle",0.05,IF(T196="Medium Value Bundle",0.07,0.10))+IF(P196&gt;=8,0.02,0)))</f>
        <v/>
      </c>
      <c r="X196">
        <f>IF(U196="Yes",C196&amp;"|anchor","")</f>
        <v/>
      </c>
      <c r="Y196">
        <f>IF(U196="Yes",B196,"")</f>
        <v/>
      </c>
    </row>
    <row r="197">
      <c r="A197">
        <f>Input_Data!C197</f>
        <v/>
      </c>
      <c r="B197">
        <f>Input_Data!A197</f>
        <v/>
      </c>
      <c r="C197">
        <f>Input_Data!B197</f>
        <v/>
      </c>
      <c r="D197">
        <f>Input_Data!D197</f>
        <v/>
      </c>
      <c r="E197">
        <f>IF(A197="","",SUM(Input_Data!E197:H197))</f>
        <v/>
      </c>
      <c r="F197">
        <f>IF(E197="","",E197/4)</f>
        <v/>
      </c>
      <c r="G197" s="2">
        <f>IF(E197="","",IF(COUNTA($E$2:$E$300)&lt;=1,0,PERCENTRANK.INC($E$2:$E$300,E197)))</f>
        <v/>
      </c>
      <c r="H197" s="2">
        <f>IF(G197="","",1-G197)</f>
        <v/>
      </c>
      <c r="I197" s="2">
        <f>Input_Data!I197</f>
        <v/>
      </c>
      <c r="J197" s="2">
        <f>IF(I197="","",IF(COUNTA($I$2:$I$300)&lt;=1,0,PERCENTRANK.INC($I$2:$I$300,I197)))</f>
        <v/>
      </c>
      <c r="K197">
        <f>Input_Data!J197</f>
        <v/>
      </c>
      <c r="L197">
        <f>Input_Data!K197</f>
        <v/>
      </c>
      <c r="M197">
        <f>Input_Data!L197</f>
        <v/>
      </c>
      <c r="N197">
        <f>IF(K197="","",K197-L197)</f>
        <v/>
      </c>
      <c r="O197">
        <f>IF(A197="","",IF(ABS(M197-N197)&lt;=1,"OK","CHECK"))</f>
        <v/>
      </c>
      <c r="P197">
        <f>IF(M197="","",IF(F197=0,99,M197/F197))</f>
        <v/>
      </c>
      <c r="Q197" s="2">
        <f>IF(P197="","",IF(COUNTA($P$2:$P$300)&lt;=1,0,PERCENTRANK.INC($P$2:$P$300,P197)))</f>
        <v/>
      </c>
      <c r="R197" s="2">
        <f>IF(A197="","",0.45*H197+0.35*Q197+0.20*J197)</f>
        <v/>
      </c>
      <c r="S197">
        <f>IF(G197="","",IF(G197&lt;=0.33,"Low Movement",IF(G197&lt;=0.66,"Medium Movement","High Movement")))</f>
        <v/>
      </c>
      <c r="T197">
        <f>IF(R197="","",IF(R197&gt;=0.67,"High Value Bundle",IF(R197&gt;=0.34,"Medium Value Bundle","Low Value Bundle")))</f>
        <v/>
      </c>
      <c r="U197">
        <f>IF(A197="","",IF(AND(G197&gt;=0.70,J197&gt;=0.70,M197&gt;0),"Yes","No"))</f>
        <v/>
      </c>
      <c r="V197">
        <f>IF(A197="","",IF(AND(S197="Low Movement",M197&gt;0,P197&gt;=2),"Yes","No"))</f>
        <v/>
      </c>
      <c r="W197" s="2">
        <f>IF(T197="","",MIN(0.12,IF(T197="High Value Bundle",0.05,IF(T197="Medium Value Bundle",0.07,0.10))+IF(P197&gt;=8,0.02,0)))</f>
        <v/>
      </c>
      <c r="X197">
        <f>IF(U197="Yes",C197&amp;"|anchor","")</f>
        <v/>
      </c>
      <c r="Y197">
        <f>IF(U197="Yes",B197,"")</f>
        <v/>
      </c>
    </row>
    <row r="198">
      <c r="A198">
        <f>Input_Data!C198</f>
        <v/>
      </c>
      <c r="B198">
        <f>Input_Data!A198</f>
        <v/>
      </c>
      <c r="C198">
        <f>Input_Data!B198</f>
        <v/>
      </c>
      <c r="D198">
        <f>Input_Data!D198</f>
        <v/>
      </c>
      <c r="E198">
        <f>IF(A198="","",SUM(Input_Data!E198:H198))</f>
        <v/>
      </c>
      <c r="F198">
        <f>IF(E198="","",E198/4)</f>
        <v/>
      </c>
      <c r="G198" s="2">
        <f>IF(E198="","",IF(COUNTA($E$2:$E$300)&lt;=1,0,PERCENTRANK.INC($E$2:$E$300,E198)))</f>
        <v/>
      </c>
      <c r="H198" s="2">
        <f>IF(G198="","",1-G198)</f>
        <v/>
      </c>
      <c r="I198" s="2">
        <f>Input_Data!I198</f>
        <v/>
      </c>
      <c r="J198" s="2">
        <f>IF(I198="","",IF(COUNTA($I$2:$I$300)&lt;=1,0,PERCENTRANK.INC($I$2:$I$300,I198)))</f>
        <v/>
      </c>
      <c r="K198">
        <f>Input_Data!J198</f>
        <v/>
      </c>
      <c r="L198">
        <f>Input_Data!K198</f>
        <v/>
      </c>
      <c r="M198">
        <f>Input_Data!L198</f>
        <v/>
      </c>
      <c r="N198">
        <f>IF(K198="","",K198-L198)</f>
        <v/>
      </c>
      <c r="O198">
        <f>IF(A198="","",IF(ABS(M198-N198)&lt;=1,"OK","CHECK"))</f>
        <v/>
      </c>
      <c r="P198">
        <f>IF(M198="","",IF(F198=0,99,M198/F198))</f>
        <v/>
      </c>
      <c r="Q198" s="2">
        <f>IF(P198="","",IF(COUNTA($P$2:$P$300)&lt;=1,0,PERCENTRANK.INC($P$2:$P$300,P198)))</f>
        <v/>
      </c>
      <c r="R198" s="2">
        <f>IF(A198="","",0.45*H198+0.35*Q198+0.20*J198)</f>
        <v/>
      </c>
      <c r="S198">
        <f>IF(G198="","",IF(G198&lt;=0.33,"Low Movement",IF(G198&lt;=0.66,"Medium Movement","High Movement")))</f>
        <v/>
      </c>
      <c r="T198">
        <f>IF(R198="","",IF(R198&gt;=0.67,"High Value Bundle",IF(R198&gt;=0.34,"Medium Value Bundle","Low Value Bundle")))</f>
        <v/>
      </c>
      <c r="U198">
        <f>IF(A198="","",IF(AND(G198&gt;=0.70,J198&gt;=0.70,M198&gt;0),"Yes","No"))</f>
        <v/>
      </c>
      <c r="V198">
        <f>IF(A198="","",IF(AND(S198="Low Movement",M198&gt;0,P198&gt;=2),"Yes","No"))</f>
        <v/>
      </c>
      <c r="W198" s="2">
        <f>IF(T198="","",MIN(0.12,IF(T198="High Value Bundle",0.05,IF(T198="Medium Value Bundle",0.07,0.10))+IF(P198&gt;=8,0.02,0)))</f>
        <v/>
      </c>
      <c r="X198">
        <f>IF(U198="Yes",C198&amp;"|anchor","")</f>
        <v/>
      </c>
      <c r="Y198">
        <f>IF(U198="Yes",B198,"")</f>
        <v/>
      </c>
    </row>
    <row r="199">
      <c r="A199">
        <f>Input_Data!C199</f>
        <v/>
      </c>
      <c r="B199">
        <f>Input_Data!A199</f>
        <v/>
      </c>
      <c r="C199">
        <f>Input_Data!B199</f>
        <v/>
      </c>
      <c r="D199">
        <f>Input_Data!D199</f>
        <v/>
      </c>
      <c r="E199">
        <f>IF(A199="","",SUM(Input_Data!E199:H199))</f>
        <v/>
      </c>
      <c r="F199">
        <f>IF(E199="","",E199/4)</f>
        <v/>
      </c>
      <c r="G199" s="2">
        <f>IF(E199="","",IF(COUNTA($E$2:$E$300)&lt;=1,0,PERCENTRANK.INC($E$2:$E$300,E199)))</f>
        <v/>
      </c>
      <c r="H199" s="2">
        <f>IF(G199="","",1-G199)</f>
        <v/>
      </c>
      <c r="I199" s="2">
        <f>Input_Data!I199</f>
        <v/>
      </c>
      <c r="J199" s="2">
        <f>IF(I199="","",IF(COUNTA($I$2:$I$300)&lt;=1,0,PERCENTRANK.INC($I$2:$I$300,I199)))</f>
        <v/>
      </c>
      <c r="K199">
        <f>Input_Data!J199</f>
        <v/>
      </c>
      <c r="L199">
        <f>Input_Data!K199</f>
        <v/>
      </c>
      <c r="M199">
        <f>Input_Data!L199</f>
        <v/>
      </c>
      <c r="N199">
        <f>IF(K199="","",K199-L199)</f>
        <v/>
      </c>
      <c r="O199">
        <f>IF(A199="","",IF(ABS(M199-N199)&lt;=1,"OK","CHECK"))</f>
        <v/>
      </c>
      <c r="P199">
        <f>IF(M199="","",IF(F199=0,99,M199/F199))</f>
        <v/>
      </c>
      <c r="Q199" s="2">
        <f>IF(P199="","",IF(COUNTA($P$2:$P$300)&lt;=1,0,PERCENTRANK.INC($P$2:$P$300,P199)))</f>
        <v/>
      </c>
      <c r="R199" s="2">
        <f>IF(A199="","",0.45*H199+0.35*Q199+0.20*J199)</f>
        <v/>
      </c>
      <c r="S199">
        <f>IF(G199="","",IF(G199&lt;=0.33,"Low Movement",IF(G199&lt;=0.66,"Medium Movement","High Movement")))</f>
        <v/>
      </c>
      <c r="T199">
        <f>IF(R199="","",IF(R199&gt;=0.67,"High Value Bundle",IF(R199&gt;=0.34,"Medium Value Bundle","Low Value Bundle")))</f>
        <v/>
      </c>
      <c r="U199">
        <f>IF(A199="","",IF(AND(G199&gt;=0.70,J199&gt;=0.70,M199&gt;0),"Yes","No"))</f>
        <v/>
      </c>
      <c r="V199">
        <f>IF(A199="","",IF(AND(S199="Low Movement",M199&gt;0,P199&gt;=2),"Yes","No"))</f>
        <v/>
      </c>
      <c r="W199" s="2">
        <f>IF(T199="","",MIN(0.12,IF(T199="High Value Bundle",0.05,IF(T199="Medium Value Bundle",0.07,0.10))+IF(P199&gt;=8,0.02,0)))</f>
        <v/>
      </c>
      <c r="X199">
        <f>IF(U199="Yes",C199&amp;"|anchor","")</f>
        <v/>
      </c>
      <c r="Y199">
        <f>IF(U199="Yes",B199,"")</f>
        <v/>
      </c>
    </row>
    <row r="200">
      <c r="A200">
        <f>Input_Data!C200</f>
        <v/>
      </c>
      <c r="B200">
        <f>Input_Data!A200</f>
        <v/>
      </c>
      <c r="C200">
        <f>Input_Data!B200</f>
        <v/>
      </c>
      <c r="D200">
        <f>Input_Data!D200</f>
        <v/>
      </c>
      <c r="E200">
        <f>IF(A200="","",SUM(Input_Data!E200:H200))</f>
        <v/>
      </c>
      <c r="F200">
        <f>IF(E200="","",E200/4)</f>
        <v/>
      </c>
      <c r="G200" s="2">
        <f>IF(E200="","",IF(COUNTA($E$2:$E$300)&lt;=1,0,PERCENTRANK.INC($E$2:$E$300,E200)))</f>
        <v/>
      </c>
      <c r="H200" s="2">
        <f>IF(G200="","",1-G200)</f>
        <v/>
      </c>
      <c r="I200" s="2">
        <f>Input_Data!I200</f>
        <v/>
      </c>
      <c r="J200" s="2">
        <f>IF(I200="","",IF(COUNTA($I$2:$I$300)&lt;=1,0,PERCENTRANK.INC($I$2:$I$300,I200)))</f>
        <v/>
      </c>
      <c r="K200">
        <f>Input_Data!J200</f>
        <v/>
      </c>
      <c r="L200">
        <f>Input_Data!K200</f>
        <v/>
      </c>
      <c r="M200">
        <f>Input_Data!L200</f>
        <v/>
      </c>
      <c r="N200">
        <f>IF(K200="","",K200-L200)</f>
        <v/>
      </c>
      <c r="O200">
        <f>IF(A200="","",IF(ABS(M200-N200)&lt;=1,"OK","CHECK"))</f>
        <v/>
      </c>
      <c r="P200">
        <f>IF(M200="","",IF(F200=0,99,M200/F200))</f>
        <v/>
      </c>
      <c r="Q200" s="2">
        <f>IF(P200="","",IF(COUNTA($P$2:$P$300)&lt;=1,0,PERCENTRANK.INC($P$2:$P$300,P200)))</f>
        <v/>
      </c>
      <c r="R200" s="2">
        <f>IF(A200="","",0.45*H200+0.35*Q200+0.20*J200)</f>
        <v/>
      </c>
      <c r="S200">
        <f>IF(G200="","",IF(G200&lt;=0.33,"Low Movement",IF(G200&lt;=0.66,"Medium Movement","High Movement")))</f>
        <v/>
      </c>
      <c r="T200">
        <f>IF(R200="","",IF(R200&gt;=0.67,"High Value Bundle",IF(R200&gt;=0.34,"Medium Value Bundle","Low Value Bundle")))</f>
        <v/>
      </c>
      <c r="U200">
        <f>IF(A200="","",IF(AND(G200&gt;=0.70,J200&gt;=0.70,M200&gt;0),"Yes","No"))</f>
        <v/>
      </c>
      <c r="V200">
        <f>IF(A200="","",IF(AND(S200="Low Movement",M200&gt;0,P200&gt;=2),"Yes","No"))</f>
        <v/>
      </c>
      <c r="W200" s="2">
        <f>IF(T200="","",MIN(0.12,IF(T200="High Value Bundle",0.05,IF(T200="Medium Value Bundle",0.07,0.10))+IF(P200&gt;=8,0.02,0)))</f>
        <v/>
      </c>
      <c r="X200">
        <f>IF(U200="Yes",C200&amp;"|anchor","")</f>
        <v/>
      </c>
      <c r="Y200">
        <f>IF(U200="Yes",B200,"")</f>
        <v/>
      </c>
    </row>
    <row r="201">
      <c r="A201">
        <f>Input_Data!C201</f>
        <v/>
      </c>
      <c r="B201">
        <f>Input_Data!A201</f>
        <v/>
      </c>
      <c r="C201">
        <f>Input_Data!B201</f>
        <v/>
      </c>
      <c r="D201">
        <f>Input_Data!D201</f>
        <v/>
      </c>
      <c r="E201">
        <f>IF(A201="","",SUM(Input_Data!E201:H201))</f>
        <v/>
      </c>
      <c r="F201">
        <f>IF(E201="","",E201/4)</f>
        <v/>
      </c>
      <c r="G201" s="2">
        <f>IF(E201="","",IF(COUNTA($E$2:$E$300)&lt;=1,0,PERCENTRANK.INC($E$2:$E$300,E201)))</f>
        <v/>
      </c>
      <c r="H201" s="2">
        <f>IF(G201="","",1-G201)</f>
        <v/>
      </c>
      <c r="I201" s="2">
        <f>Input_Data!I201</f>
        <v/>
      </c>
      <c r="J201" s="2">
        <f>IF(I201="","",IF(COUNTA($I$2:$I$300)&lt;=1,0,PERCENTRANK.INC($I$2:$I$300,I201)))</f>
        <v/>
      </c>
      <c r="K201">
        <f>Input_Data!J201</f>
        <v/>
      </c>
      <c r="L201">
        <f>Input_Data!K201</f>
        <v/>
      </c>
      <c r="M201">
        <f>Input_Data!L201</f>
        <v/>
      </c>
      <c r="N201">
        <f>IF(K201="","",K201-L201)</f>
        <v/>
      </c>
      <c r="O201">
        <f>IF(A201="","",IF(ABS(M201-N201)&lt;=1,"OK","CHECK"))</f>
        <v/>
      </c>
      <c r="P201">
        <f>IF(M201="","",IF(F201=0,99,M201/F201))</f>
        <v/>
      </c>
      <c r="Q201" s="2">
        <f>IF(P201="","",IF(COUNTA($P$2:$P$300)&lt;=1,0,PERCENTRANK.INC($P$2:$P$300,P201)))</f>
        <v/>
      </c>
      <c r="R201" s="2">
        <f>IF(A201="","",0.45*H201+0.35*Q201+0.20*J201)</f>
        <v/>
      </c>
      <c r="S201">
        <f>IF(G201="","",IF(G201&lt;=0.33,"Low Movement",IF(G201&lt;=0.66,"Medium Movement","High Movement")))</f>
        <v/>
      </c>
      <c r="T201">
        <f>IF(R201="","",IF(R201&gt;=0.67,"High Value Bundle",IF(R201&gt;=0.34,"Medium Value Bundle","Low Value Bundle")))</f>
        <v/>
      </c>
      <c r="U201">
        <f>IF(A201="","",IF(AND(G201&gt;=0.70,J201&gt;=0.70,M201&gt;0),"Yes","No"))</f>
        <v/>
      </c>
      <c r="V201">
        <f>IF(A201="","",IF(AND(S201="Low Movement",M201&gt;0,P201&gt;=2),"Yes","No"))</f>
        <v/>
      </c>
      <c r="W201" s="2">
        <f>IF(T201="","",MIN(0.12,IF(T201="High Value Bundle",0.05,IF(T201="Medium Value Bundle",0.07,0.10))+IF(P201&gt;=8,0.02,0)))</f>
        <v/>
      </c>
      <c r="X201">
        <f>IF(U201="Yes",C201&amp;"|anchor","")</f>
        <v/>
      </c>
      <c r="Y201">
        <f>IF(U201="Yes",B201,"")</f>
        <v/>
      </c>
    </row>
    <row r="202">
      <c r="A202">
        <f>Input_Data!C202</f>
        <v/>
      </c>
      <c r="B202">
        <f>Input_Data!A202</f>
        <v/>
      </c>
      <c r="C202">
        <f>Input_Data!B202</f>
        <v/>
      </c>
      <c r="D202">
        <f>Input_Data!D202</f>
        <v/>
      </c>
      <c r="E202">
        <f>IF(A202="","",SUM(Input_Data!E202:H202))</f>
        <v/>
      </c>
      <c r="F202">
        <f>IF(E202="","",E202/4)</f>
        <v/>
      </c>
      <c r="G202" s="2">
        <f>IF(E202="","",IF(COUNTA($E$2:$E$300)&lt;=1,0,PERCENTRANK.INC($E$2:$E$300,E202)))</f>
        <v/>
      </c>
      <c r="H202" s="2">
        <f>IF(G202="","",1-G202)</f>
        <v/>
      </c>
      <c r="I202" s="2">
        <f>Input_Data!I202</f>
        <v/>
      </c>
      <c r="J202" s="2">
        <f>IF(I202="","",IF(COUNTA($I$2:$I$300)&lt;=1,0,PERCENTRANK.INC($I$2:$I$300,I202)))</f>
        <v/>
      </c>
      <c r="K202">
        <f>Input_Data!J202</f>
        <v/>
      </c>
      <c r="L202">
        <f>Input_Data!K202</f>
        <v/>
      </c>
      <c r="M202">
        <f>Input_Data!L202</f>
        <v/>
      </c>
      <c r="N202">
        <f>IF(K202="","",K202-L202)</f>
        <v/>
      </c>
      <c r="O202">
        <f>IF(A202="","",IF(ABS(M202-N202)&lt;=1,"OK","CHECK"))</f>
        <v/>
      </c>
      <c r="P202">
        <f>IF(M202="","",IF(F202=0,99,M202/F202))</f>
        <v/>
      </c>
      <c r="Q202" s="2">
        <f>IF(P202="","",IF(COUNTA($P$2:$P$300)&lt;=1,0,PERCENTRANK.INC($P$2:$P$300,P202)))</f>
        <v/>
      </c>
      <c r="R202" s="2">
        <f>IF(A202="","",0.45*H202+0.35*Q202+0.20*J202)</f>
        <v/>
      </c>
      <c r="S202">
        <f>IF(G202="","",IF(G202&lt;=0.33,"Low Movement",IF(G202&lt;=0.66,"Medium Movement","High Movement")))</f>
        <v/>
      </c>
      <c r="T202">
        <f>IF(R202="","",IF(R202&gt;=0.67,"High Value Bundle",IF(R202&gt;=0.34,"Medium Value Bundle","Low Value Bundle")))</f>
        <v/>
      </c>
      <c r="U202">
        <f>IF(A202="","",IF(AND(G202&gt;=0.70,J202&gt;=0.70,M202&gt;0),"Yes","No"))</f>
        <v/>
      </c>
      <c r="V202">
        <f>IF(A202="","",IF(AND(S202="Low Movement",M202&gt;0,P202&gt;=2),"Yes","No"))</f>
        <v/>
      </c>
      <c r="W202" s="2">
        <f>IF(T202="","",MIN(0.12,IF(T202="High Value Bundle",0.05,IF(T202="Medium Value Bundle",0.07,0.10))+IF(P202&gt;=8,0.02,0)))</f>
        <v/>
      </c>
      <c r="X202">
        <f>IF(U202="Yes",C202&amp;"|anchor","")</f>
        <v/>
      </c>
      <c r="Y202">
        <f>IF(U202="Yes",B202,"")</f>
        <v/>
      </c>
    </row>
    <row r="203">
      <c r="A203">
        <f>Input_Data!C203</f>
        <v/>
      </c>
      <c r="B203">
        <f>Input_Data!A203</f>
        <v/>
      </c>
      <c r="C203">
        <f>Input_Data!B203</f>
        <v/>
      </c>
      <c r="D203">
        <f>Input_Data!D203</f>
        <v/>
      </c>
      <c r="E203">
        <f>IF(A203="","",SUM(Input_Data!E203:H203))</f>
        <v/>
      </c>
      <c r="F203">
        <f>IF(E203="","",E203/4)</f>
        <v/>
      </c>
      <c r="G203" s="2">
        <f>IF(E203="","",IF(COUNTA($E$2:$E$300)&lt;=1,0,PERCENTRANK.INC($E$2:$E$300,E203)))</f>
        <v/>
      </c>
      <c r="H203" s="2">
        <f>IF(G203="","",1-G203)</f>
        <v/>
      </c>
      <c r="I203" s="2">
        <f>Input_Data!I203</f>
        <v/>
      </c>
      <c r="J203" s="2">
        <f>IF(I203="","",IF(COUNTA($I$2:$I$300)&lt;=1,0,PERCENTRANK.INC($I$2:$I$300,I203)))</f>
        <v/>
      </c>
      <c r="K203">
        <f>Input_Data!J203</f>
        <v/>
      </c>
      <c r="L203">
        <f>Input_Data!K203</f>
        <v/>
      </c>
      <c r="M203">
        <f>Input_Data!L203</f>
        <v/>
      </c>
      <c r="N203">
        <f>IF(K203="","",K203-L203)</f>
        <v/>
      </c>
      <c r="O203">
        <f>IF(A203="","",IF(ABS(M203-N203)&lt;=1,"OK","CHECK"))</f>
        <v/>
      </c>
      <c r="P203">
        <f>IF(M203="","",IF(F203=0,99,M203/F203))</f>
        <v/>
      </c>
      <c r="Q203" s="2">
        <f>IF(P203="","",IF(COUNTA($P$2:$P$300)&lt;=1,0,PERCENTRANK.INC($P$2:$P$300,P203)))</f>
        <v/>
      </c>
      <c r="R203" s="2">
        <f>IF(A203="","",0.45*H203+0.35*Q203+0.20*J203)</f>
        <v/>
      </c>
      <c r="S203">
        <f>IF(G203="","",IF(G203&lt;=0.33,"Low Movement",IF(G203&lt;=0.66,"Medium Movement","High Movement")))</f>
        <v/>
      </c>
      <c r="T203">
        <f>IF(R203="","",IF(R203&gt;=0.67,"High Value Bundle",IF(R203&gt;=0.34,"Medium Value Bundle","Low Value Bundle")))</f>
        <v/>
      </c>
      <c r="U203">
        <f>IF(A203="","",IF(AND(G203&gt;=0.70,J203&gt;=0.70,M203&gt;0),"Yes","No"))</f>
        <v/>
      </c>
      <c r="V203">
        <f>IF(A203="","",IF(AND(S203="Low Movement",M203&gt;0,P203&gt;=2),"Yes","No"))</f>
        <v/>
      </c>
      <c r="W203" s="2">
        <f>IF(T203="","",MIN(0.12,IF(T203="High Value Bundle",0.05,IF(T203="Medium Value Bundle",0.07,0.10))+IF(P203&gt;=8,0.02,0)))</f>
        <v/>
      </c>
      <c r="X203">
        <f>IF(U203="Yes",C203&amp;"|anchor","")</f>
        <v/>
      </c>
      <c r="Y203">
        <f>IF(U203="Yes",B203,"")</f>
        <v/>
      </c>
    </row>
    <row r="204">
      <c r="A204">
        <f>Input_Data!C204</f>
        <v/>
      </c>
      <c r="B204">
        <f>Input_Data!A204</f>
        <v/>
      </c>
      <c r="C204">
        <f>Input_Data!B204</f>
        <v/>
      </c>
      <c r="D204">
        <f>Input_Data!D204</f>
        <v/>
      </c>
      <c r="E204">
        <f>IF(A204="","",SUM(Input_Data!E204:H204))</f>
        <v/>
      </c>
      <c r="F204">
        <f>IF(E204="","",E204/4)</f>
        <v/>
      </c>
      <c r="G204" s="2">
        <f>IF(E204="","",IF(COUNTA($E$2:$E$300)&lt;=1,0,PERCENTRANK.INC($E$2:$E$300,E204)))</f>
        <v/>
      </c>
      <c r="H204" s="2">
        <f>IF(G204="","",1-G204)</f>
        <v/>
      </c>
      <c r="I204" s="2">
        <f>Input_Data!I204</f>
        <v/>
      </c>
      <c r="J204" s="2">
        <f>IF(I204="","",IF(COUNTA($I$2:$I$300)&lt;=1,0,PERCENTRANK.INC($I$2:$I$300,I204)))</f>
        <v/>
      </c>
      <c r="K204">
        <f>Input_Data!J204</f>
        <v/>
      </c>
      <c r="L204">
        <f>Input_Data!K204</f>
        <v/>
      </c>
      <c r="M204">
        <f>Input_Data!L204</f>
        <v/>
      </c>
      <c r="N204">
        <f>IF(K204="","",K204-L204)</f>
        <v/>
      </c>
      <c r="O204">
        <f>IF(A204="","",IF(ABS(M204-N204)&lt;=1,"OK","CHECK"))</f>
        <v/>
      </c>
      <c r="P204">
        <f>IF(M204="","",IF(F204=0,99,M204/F204))</f>
        <v/>
      </c>
      <c r="Q204" s="2">
        <f>IF(P204="","",IF(COUNTA($P$2:$P$300)&lt;=1,0,PERCENTRANK.INC($P$2:$P$300,P204)))</f>
        <v/>
      </c>
      <c r="R204" s="2">
        <f>IF(A204="","",0.45*H204+0.35*Q204+0.20*J204)</f>
        <v/>
      </c>
      <c r="S204">
        <f>IF(G204="","",IF(G204&lt;=0.33,"Low Movement",IF(G204&lt;=0.66,"Medium Movement","High Movement")))</f>
        <v/>
      </c>
      <c r="T204">
        <f>IF(R204="","",IF(R204&gt;=0.67,"High Value Bundle",IF(R204&gt;=0.34,"Medium Value Bundle","Low Value Bundle")))</f>
        <v/>
      </c>
      <c r="U204">
        <f>IF(A204="","",IF(AND(G204&gt;=0.70,J204&gt;=0.70,M204&gt;0),"Yes","No"))</f>
        <v/>
      </c>
      <c r="V204">
        <f>IF(A204="","",IF(AND(S204="Low Movement",M204&gt;0,P204&gt;=2),"Yes","No"))</f>
        <v/>
      </c>
      <c r="W204" s="2">
        <f>IF(T204="","",MIN(0.12,IF(T204="High Value Bundle",0.05,IF(T204="Medium Value Bundle",0.07,0.10))+IF(P204&gt;=8,0.02,0)))</f>
        <v/>
      </c>
      <c r="X204">
        <f>IF(U204="Yes",C204&amp;"|anchor","")</f>
        <v/>
      </c>
      <c r="Y204">
        <f>IF(U204="Yes",B204,"")</f>
        <v/>
      </c>
    </row>
    <row r="205">
      <c r="A205">
        <f>Input_Data!C205</f>
        <v/>
      </c>
      <c r="B205">
        <f>Input_Data!A205</f>
        <v/>
      </c>
      <c r="C205">
        <f>Input_Data!B205</f>
        <v/>
      </c>
      <c r="D205">
        <f>Input_Data!D205</f>
        <v/>
      </c>
      <c r="E205">
        <f>IF(A205="","",SUM(Input_Data!E205:H205))</f>
        <v/>
      </c>
      <c r="F205">
        <f>IF(E205="","",E205/4)</f>
        <v/>
      </c>
      <c r="G205" s="2">
        <f>IF(E205="","",IF(COUNTA($E$2:$E$300)&lt;=1,0,PERCENTRANK.INC($E$2:$E$300,E205)))</f>
        <v/>
      </c>
      <c r="H205" s="2">
        <f>IF(G205="","",1-G205)</f>
        <v/>
      </c>
      <c r="I205" s="2">
        <f>Input_Data!I205</f>
        <v/>
      </c>
      <c r="J205" s="2">
        <f>IF(I205="","",IF(COUNTA($I$2:$I$300)&lt;=1,0,PERCENTRANK.INC($I$2:$I$300,I205)))</f>
        <v/>
      </c>
      <c r="K205">
        <f>Input_Data!J205</f>
        <v/>
      </c>
      <c r="L205">
        <f>Input_Data!K205</f>
        <v/>
      </c>
      <c r="M205">
        <f>Input_Data!L205</f>
        <v/>
      </c>
      <c r="N205">
        <f>IF(K205="","",K205-L205)</f>
        <v/>
      </c>
      <c r="O205">
        <f>IF(A205="","",IF(ABS(M205-N205)&lt;=1,"OK","CHECK"))</f>
        <v/>
      </c>
      <c r="P205">
        <f>IF(M205="","",IF(F205=0,99,M205/F205))</f>
        <v/>
      </c>
      <c r="Q205" s="2">
        <f>IF(P205="","",IF(COUNTA($P$2:$P$300)&lt;=1,0,PERCENTRANK.INC($P$2:$P$300,P205)))</f>
        <v/>
      </c>
      <c r="R205" s="2">
        <f>IF(A205="","",0.45*H205+0.35*Q205+0.20*J205)</f>
        <v/>
      </c>
      <c r="S205">
        <f>IF(G205="","",IF(G205&lt;=0.33,"Low Movement",IF(G205&lt;=0.66,"Medium Movement","High Movement")))</f>
        <v/>
      </c>
      <c r="T205">
        <f>IF(R205="","",IF(R205&gt;=0.67,"High Value Bundle",IF(R205&gt;=0.34,"Medium Value Bundle","Low Value Bundle")))</f>
        <v/>
      </c>
      <c r="U205">
        <f>IF(A205="","",IF(AND(G205&gt;=0.70,J205&gt;=0.70,M205&gt;0),"Yes","No"))</f>
        <v/>
      </c>
      <c r="V205">
        <f>IF(A205="","",IF(AND(S205="Low Movement",M205&gt;0,P205&gt;=2),"Yes","No"))</f>
        <v/>
      </c>
      <c r="W205" s="2">
        <f>IF(T205="","",MIN(0.12,IF(T205="High Value Bundle",0.05,IF(T205="Medium Value Bundle",0.07,0.10))+IF(P205&gt;=8,0.02,0)))</f>
        <v/>
      </c>
      <c r="X205">
        <f>IF(U205="Yes",C205&amp;"|anchor","")</f>
        <v/>
      </c>
      <c r="Y205">
        <f>IF(U205="Yes",B205,"")</f>
        <v/>
      </c>
    </row>
    <row r="206">
      <c r="A206">
        <f>Input_Data!C206</f>
        <v/>
      </c>
      <c r="B206">
        <f>Input_Data!A206</f>
        <v/>
      </c>
      <c r="C206">
        <f>Input_Data!B206</f>
        <v/>
      </c>
      <c r="D206">
        <f>Input_Data!D206</f>
        <v/>
      </c>
      <c r="E206">
        <f>IF(A206="","",SUM(Input_Data!E206:H206))</f>
        <v/>
      </c>
      <c r="F206">
        <f>IF(E206="","",E206/4)</f>
        <v/>
      </c>
      <c r="G206" s="2">
        <f>IF(E206="","",IF(COUNTA($E$2:$E$300)&lt;=1,0,PERCENTRANK.INC($E$2:$E$300,E206)))</f>
        <v/>
      </c>
      <c r="H206" s="2">
        <f>IF(G206="","",1-G206)</f>
        <v/>
      </c>
      <c r="I206" s="2">
        <f>Input_Data!I206</f>
        <v/>
      </c>
      <c r="J206" s="2">
        <f>IF(I206="","",IF(COUNTA($I$2:$I$300)&lt;=1,0,PERCENTRANK.INC($I$2:$I$300,I206)))</f>
        <v/>
      </c>
      <c r="K206">
        <f>Input_Data!J206</f>
        <v/>
      </c>
      <c r="L206">
        <f>Input_Data!K206</f>
        <v/>
      </c>
      <c r="M206">
        <f>Input_Data!L206</f>
        <v/>
      </c>
      <c r="N206">
        <f>IF(K206="","",K206-L206)</f>
        <v/>
      </c>
      <c r="O206">
        <f>IF(A206="","",IF(ABS(M206-N206)&lt;=1,"OK","CHECK"))</f>
        <v/>
      </c>
      <c r="P206">
        <f>IF(M206="","",IF(F206=0,99,M206/F206))</f>
        <v/>
      </c>
      <c r="Q206" s="2">
        <f>IF(P206="","",IF(COUNTA($P$2:$P$300)&lt;=1,0,PERCENTRANK.INC($P$2:$P$300,P206)))</f>
        <v/>
      </c>
      <c r="R206" s="2">
        <f>IF(A206="","",0.45*H206+0.35*Q206+0.20*J206)</f>
        <v/>
      </c>
      <c r="S206">
        <f>IF(G206="","",IF(G206&lt;=0.33,"Low Movement",IF(G206&lt;=0.66,"Medium Movement","High Movement")))</f>
        <v/>
      </c>
      <c r="T206">
        <f>IF(R206="","",IF(R206&gt;=0.67,"High Value Bundle",IF(R206&gt;=0.34,"Medium Value Bundle","Low Value Bundle")))</f>
        <v/>
      </c>
      <c r="U206">
        <f>IF(A206="","",IF(AND(G206&gt;=0.70,J206&gt;=0.70,M206&gt;0),"Yes","No"))</f>
        <v/>
      </c>
      <c r="V206">
        <f>IF(A206="","",IF(AND(S206="Low Movement",M206&gt;0,P206&gt;=2),"Yes","No"))</f>
        <v/>
      </c>
      <c r="W206" s="2">
        <f>IF(T206="","",MIN(0.12,IF(T206="High Value Bundle",0.05,IF(T206="Medium Value Bundle",0.07,0.10))+IF(P206&gt;=8,0.02,0)))</f>
        <v/>
      </c>
      <c r="X206">
        <f>IF(U206="Yes",C206&amp;"|anchor","")</f>
        <v/>
      </c>
      <c r="Y206">
        <f>IF(U206="Yes",B206,"")</f>
        <v/>
      </c>
    </row>
    <row r="207">
      <c r="A207">
        <f>Input_Data!C207</f>
        <v/>
      </c>
      <c r="B207">
        <f>Input_Data!A207</f>
        <v/>
      </c>
      <c r="C207">
        <f>Input_Data!B207</f>
        <v/>
      </c>
      <c r="D207">
        <f>Input_Data!D207</f>
        <v/>
      </c>
      <c r="E207">
        <f>IF(A207="","",SUM(Input_Data!E207:H207))</f>
        <v/>
      </c>
      <c r="F207">
        <f>IF(E207="","",E207/4)</f>
        <v/>
      </c>
      <c r="G207" s="2">
        <f>IF(E207="","",IF(COUNTA($E$2:$E$300)&lt;=1,0,PERCENTRANK.INC($E$2:$E$300,E207)))</f>
        <v/>
      </c>
      <c r="H207" s="2">
        <f>IF(G207="","",1-G207)</f>
        <v/>
      </c>
      <c r="I207" s="2">
        <f>Input_Data!I207</f>
        <v/>
      </c>
      <c r="J207" s="2">
        <f>IF(I207="","",IF(COUNTA($I$2:$I$300)&lt;=1,0,PERCENTRANK.INC($I$2:$I$300,I207)))</f>
        <v/>
      </c>
      <c r="K207">
        <f>Input_Data!J207</f>
        <v/>
      </c>
      <c r="L207">
        <f>Input_Data!K207</f>
        <v/>
      </c>
      <c r="M207">
        <f>Input_Data!L207</f>
        <v/>
      </c>
      <c r="N207">
        <f>IF(K207="","",K207-L207)</f>
        <v/>
      </c>
      <c r="O207">
        <f>IF(A207="","",IF(ABS(M207-N207)&lt;=1,"OK","CHECK"))</f>
        <v/>
      </c>
      <c r="P207">
        <f>IF(M207="","",IF(F207=0,99,M207/F207))</f>
        <v/>
      </c>
      <c r="Q207" s="2">
        <f>IF(P207="","",IF(COUNTA($P$2:$P$300)&lt;=1,0,PERCENTRANK.INC($P$2:$P$300,P207)))</f>
        <v/>
      </c>
      <c r="R207" s="2">
        <f>IF(A207="","",0.45*H207+0.35*Q207+0.20*J207)</f>
        <v/>
      </c>
      <c r="S207">
        <f>IF(G207="","",IF(G207&lt;=0.33,"Low Movement",IF(G207&lt;=0.66,"Medium Movement","High Movement")))</f>
        <v/>
      </c>
      <c r="T207">
        <f>IF(R207="","",IF(R207&gt;=0.67,"High Value Bundle",IF(R207&gt;=0.34,"Medium Value Bundle","Low Value Bundle")))</f>
        <v/>
      </c>
      <c r="U207">
        <f>IF(A207="","",IF(AND(G207&gt;=0.70,J207&gt;=0.70,M207&gt;0),"Yes","No"))</f>
        <v/>
      </c>
      <c r="V207">
        <f>IF(A207="","",IF(AND(S207="Low Movement",M207&gt;0,P207&gt;=2),"Yes","No"))</f>
        <v/>
      </c>
      <c r="W207" s="2">
        <f>IF(T207="","",MIN(0.12,IF(T207="High Value Bundle",0.05,IF(T207="Medium Value Bundle",0.07,0.10))+IF(P207&gt;=8,0.02,0)))</f>
        <v/>
      </c>
      <c r="X207">
        <f>IF(U207="Yes",C207&amp;"|anchor","")</f>
        <v/>
      </c>
      <c r="Y207">
        <f>IF(U207="Yes",B207,"")</f>
        <v/>
      </c>
    </row>
    <row r="208">
      <c r="A208">
        <f>Input_Data!C208</f>
        <v/>
      </c>
      <c r="B208">
        <f>Input_Data!A208</f>
        <v/>
      </c>
      <c r="C208">
        <f>Input_Data!B208</f>
        <v/>
      </c>
      <c r="D208">
        <f>Input_Data!D208</f>
        <v/>
      </c>
      <c r="E208">
        <f>IF(A208="","",SUM(Input_Data!E208:H208))</f>
        <v/>
      </c>
      <c r="F208">
        <f>IF(E208="","",E208/4)</f>
        <v/>
      </c>
      <c r="G208" s="2">
        <f>IF(E208="","",IF(COUNTA($E$2:$E$300)&lt;=1,0,PERCENTRANK.INC($E$2:$E$300,E208)))</f>
        <v/>
      </c>
      <c r="H208" s="2">
        <f>IF(G208="","",1-G208)</f>
        <v/>
      </c>
      <c r="I208" s="2">
        <f>Input_Data!I208</f>
        <v/>
      </c>
      <c r="J208" s="2">
        <f>IF(I208="","",IF(COUNTA($I$2:$I$300)&lt;=1,0,PERCENTRANK.INC($I$2:$I$300,I208)))</f>
        <v/>
      </c>
      <c r="K208">
        <f>Input_Data!J208</f>
        <v/>
      </c>
      <c r="L208">
        <f>Input_Data!K208</f>
        <v/>
      </c>
      <c r="M208">
        <f>Input_Data!L208</f>
        <v/>
      </c>
      <c r="N208">
        <f>IF(K208="","",K208-L208)</f>
        <v/>
      </c>
      <c r="O208">
        <f>IF(A208="","",IF(ABS(M208-N208)&lt;=1,"OK","CHECK"))</f>
        <v/>
      </c>
      <c r="P208">
        <f>IF(M208="","",IF(F208=0,99,M208/F208))</f>
        <v/>
      </c>
      <c r="Q208" s="2">
        <f>IF(P208="","",IF(COUNTA($P$2:$P$300)&lt;=1,0,PERCENTRANK.INC($P$2:$P$300,P208)))</f>
        <v/>
      </c>
      <c r="R208" s="2">
        <f>IF(A208="","",0.45*H208+0.35*Q208+0.20*J208)</f>
        <v/>
      </c>
      <c r="S208">
        <f>IF(G208="","",IF(G208&lt;=0.33,"Low Movement",IF(G208&lt;=0.66,"Medium Movement","High Movement")))</f>
        <v/>
      </c>
      <c r="T208">
        <f>IF(R208="","",IF(R208&gt;=0.67,"High Value Bundle",IF(R208&gt;=0.34,"Medium Value Bundle","Low Value Bundle")))</f>
        <v/>
      </c>
      <c r="U208">
        <f>IF(A208="","",IF(AND(G208&gt;=0.70,J208&gt;=0.70,M208&gt;0),"Yes","No"))</f>
        <v/>
      </c>
      <c r="V208">
        <f>IF(A208="","",IF(AND(S208="Low Movement",M208&gt;0,P208&gt;=2),"Yes","No"))</f>
        <v/>
      </c>
      <c r="W208" s="2">
        <f>IF(T208="","",MIN(0.12,IF(T208="High Value Bundle",0.05,IF(T208="Medium Value Bundle",0.07,0.10))+IF(P208&gt;=8,0.02,0)))</f>
        <v/>
      </c>
      <c r="X208">
        <f>IF(U208="Yes",C208&amp;"|anchor","")</f>
        <v/>
      </c>
      <c r="Y208">
        <f>IF(U208="Yes",B208,"")</f>
        <v/>
      </c>
    </row>
    <row r="209">
      <c r="A209">
        <f>Input_Data!C209</f>
        <v/>
      </c>
      <c r="B209">
        <f>Input_Data!A209</f>
        <v/>
      </c>
      <c r="C209">
        <f>Input_Data!B209</f>
        <v/>
      </c>
      <c r="D209">
        <f>Input_Data!D209</f>
        <v/>
      </c>
      <c r="E209">
        <f>IF(A209="","",SUM(Input_Data!E209:H209))</f>
        <v/>
      </c>
      <c r="F209">
        <f>IF(E209="","",E209/4)</f>
        <v/>
      </c>
      <c r="G209" s="2">
        <f>IF(E209="","",IF(COUNTA($E$2:$E$300)&lt;=1,0,PERCENTRANK.INC($E$2:$E$300,E209)))</f>
        <v/>
      </c>
      <c r="H209" s="2">
        <f>IF(G209="","",1-G209)</f>
        <v/>
      </c>
      <c r="I209" s="2">
        <f>Input_Data!I209</f>
        <v/>
      </c>
      <c r="J209" s="2">
        <f>IF(I209="","",IF(COUNTA($I$2:$I$300)&lt;=1,0,PERCENTRANK.INC($I$2:$I$300,I209)))</f>
        <v/>
      </c>
      <c r="K209">
        <f>Input_Data!J209</f>
        <v/>
      </c>
      <c r="L209">
        <f>Input_Data!K209</f>
        <v/>
      </c>
      <c r="M209">
        <f>Input_Data!L209</f>
        <v/>
      </c>
      <c r="N209">
        <f>IF(K209="","",K209-L209)</f>
        <v/>
      </c>
      <c r="O209">
        <f>IF(A209="","",IF(ABS(M209-N209)&lt;=1,"OK","CHECK"))</f>
        <v/>
      </c>
      <c r="P209">
        <f>IF(M209="","",IF(F209=0,99,M209/F209))</f>
        <v/>
      </c>
      <c r="Q209" s="2">
        <f>IF(P209="","",IF(COUNTA($P$2:$P$300)&lt;=1,0,PERCENTRANK.INC($P$2:$P$300,P209)))</f>
        <v/>
      </c>
      <c r="R209" s="2">
        <f>IF(A209="","",0.45*H209+0.35*Q209+0.20*J209)</f>
        <v/>
      </c>
      <c r="S209">
        <f>IF(G209="","",IF(G209&lt;=0.33,"Low Movement",IF(G209&lt;=0.66,"Medium Movement","High Movement")))</f>
        <v/>
      </c>
      <c r="T209">
        <f>IF(R209="","",IF(R209&gt;=0.67,"High Value Bundle",IF(R209&gt;=0.34,"Medium Value Bundle","Low Value Bundle")))</f>
        <v/>
      </c>
      <c r="U209">
        <f>IF(A209="","",IF(AND(G209&gt;=0.70,J209&gt;=0.70,M209&gt;0),"Yes","No"))</f>
        <v/>
      </c>
      <c r="V209">
        <f>IF(A209="","",IF(AND(S209="Low Movement",M209&gt;0,P209&gt;=2),"Yes","No"))</f>
        <v/>
      </c>
      <c r="W209" s="2">
        <f>IF(T209="","",MIN(0.12,IF(T209="High Value Bundle",0.05,IF(T209="Medium Value Bundle",0.07,0.10))+IF(P209&gt;=8,0.02,0)))</f>
        <v/>
      </c>
      <c r="X209">
        <f>IF(U209="Yes",C209&amp;"|anchor","")</f>
        <v/>
      </c>
      <c r="Y209">
        <f>IF(U209="Yes",B209,"")</f>
        <v/>
      </c>
    </row>
    <row r="210">
      <c r="A210">
        <f>Input_Data!C210</f>
        <v/>
      </c>
      <c r="B210">
        <f>Input_Data!A210</f>
        <v/>
      </c>
      <c r="C210">
        <f>Input_Data!B210</f>
        <v/>
      </c>
      <c r="D210">
        <f>Input_Data!D210</f>
        <v/>
      </c>
      <c r="E210">
        <f>IF(A210="","",SUM(Input_Data!E210:H210))</f>
        <v/>
      </c>
      <c r="F210">
        <f>IF(E210="","",E210/4)</f>
        <v/>
      </c>
      <c r="G210" s="2">
        <f>IF(E210="","",IF(COUNTA($E$2:$E$300)&lt;=1,0,PERCENTRANK.INC($E$2:$E$300,E210)))</f>
        <v/>
      </c>
      <c r="H210" s="2">
        <f>IF(G210="","",1-G210)</f>
        <v/>
      </c>
      <c r="I210" s="2">
        <f>Input_Data!I210</f>
        <v/>
      </c>
      <c r="J210" s="2">
        <f>IF(I210="","",IF(COUNTA($I$2:$I$300)&lt;=1,0,PERCENTRANK.INC($I$2:$I$300,I210)))</f>
        <v/>
      </c>
      <c r="K210">
        <f>Input_Data!J210</f>
        <v/>
      </c>
      <c r="L210">
        <f>Input_Data!K210</f>
        <v/>
      </c>
      <c r="M210">
        <f>Input_Data!L210</f>
        <v/>
      </c>
      <c r="N210">
        <f>IF(K210="","",K210-L210)</f>
        <v/>
      </c>
      <c r="O210">
        <f>IF(A210="","",IF(ABS(M210-N210)&lt;=1,"OK","CHECK"))</f>
        <v/>
      </c>
      <c r="P210">
        <f>IF(M210="","",IF(F210=0,99,M210/F210))</f>
        <v/>
      </c>
      <c r="Q210" s="2">
        <f>IF(P210="","",IF(COUNTA($P$2:$P$300)&lt;=1,0,PERCENTRANK.INC($P$2:$P$300,P210)))</f>
        <v/>
      </c>
      <c r="R210" s="2">
        <f>IF(A210="","",0.45*H210+0.35*Q210+0.20*J210)</f>
        <v/>
      </c>
      <c r="S210">
        <f>IF(G210="","",IF(G210&lt;=0.33,"Low Movement",IF(G210&lt;=0.66,"Medium Movement","High Movement")))</f>
        <v/>
      </c>
      <c r="T210">
        <f>IF(R210="","",IF(R210&gt;=0.67,"High Value Bundle",IF(R210&gt;=0.34,"Medium Value Bundle","Low Value Bundle")))</f>
        <v/>
      </c>
      <c r="U210">
        <f>IF(A210="","",IF(AND(G210&gt;=0.70,J210&gt;=0.70,M210&gt;0),"Yes","No"))</f>
        <v/>
      </c>
      <c r="V210">
        <f>IF(A210="","",IF(AND(S210="Low Movement",M210&gt;0,P210&gt;=2),"Yes","No"))</f>
        <v/>
      </c>
      <c r="W210" s="2">
        <f>IF(T210="","",MIN(0.12,IF(T210="High Value Bundle",0.05,IF(T210="Medium Value Bundle",0.07,0.10))+IF(P210&gt;=8,0.02,0)))</f>
        <v/>
      </c>
      <c r="X210">
        <f>IF(U210="Yes",C210&amp;"|anchor","")</f>
        <v/>
      </c>
      <c r="Y210">
        <f>IF(U210="Yes",B210,"")</f>
        <v/>
      </c>
    </row>
    <row r="211">
      <c r="A211">
        <f>Input_Data!C211</f>
        <v/>
      </c>
      <c r="B211">
        <f>Input_Data!A211</f>
        <v/>
      </c>
      <c r="C211">
        <f>Input_Data!B211</f>
        <v/>
      </c>
      <c r="D211">
        <f>Input_Data!D211</f>
        <v/>
      </c>
      <c r="E211">
        <f>IF(A211="","",SUM(Input_Data!E211:H211))</f>
        <v/>
      </c>
      <c r="F211">
        <f>IF(E211="","",E211/4)</f>
        <v/>
      </c>
      <c r="G211" s="2">
        <f>IF(E211="","",IF(COUNTA($E$2:$E$300)&lt;=1,0,PERCENTRANK.INC($E$2:$E$300,E211)))</f>
        <v/>
      </c>
      <c r="H211" s="2">
        <f>IF(G211="","",1-G211)</f>
        <v/>
      </c>
      <c r="I211" s="2">
        <f>Input_Data!I211</f>
        <v/>
      </c>
      <c r="J211" s="2">
        <f>IF(I211="","",IF(COUNTA($I$2:$I$300)&lt;=1,0,PERCENTRANK.INC($I$2:$I$300,I211)))</f>
        <v/>
      </c>
      <c r="K211">
        <f>Input_Data!J211</f>
        <v/>
      </c>
      <c r="L211">
        <f>Input_Data!K211</f>
        <v/>
      </c>
      <c r="M211">
        <f>Input_Data!L211</f>
        <v/>
      </c>
      <c r="N211">
        <f>IF(K211="","",K211-L211)</f>
        <v/>
      </c>
      <c r="O211">
        <f>IF(A211="","",IF(ABS(M211-N211)&lt;=1,"OK","CHECK"))</f>
        <v/>
      </c>
      <c r="P211">
        <f>IF(M211="","",IF(F211=0,99,M211/F211))</f>
        <v/>
      </c>
      <c r="Q211" s="2">
        <f>IF(P211="","",IF(COUNTA($P$2:$P$300)&lt;=1,0,PERCENTRANK.INC($P$2:$P$300,P211)))</f>
        <v/>
      </c>
      <c r="R211" s="2">
        <f>IF(A211="","",0.45*H211+0.35*Q211+0.20*J211)</f>
        <v/>
      </c>
      <c r="S211">
        <f>IF(G211="","",IF(G211&lt;=0.33,"Low Movement",IF(G211&lt;=0.66,"Medium Movement","High Movement")))</f>
        <v/>
      </c>
      <c r="T211">
        <f>IF(R211="","",IF(R211&gt;=0.67,"High Value Bundle",IF(R211&gt;=0.34,"Medium Value Bundle","Low Value Bundle")))</f>
        <v/>
      </c>
      <c r="U211">
        <f>IF(A211="","",IF(AND(G211&gt;=0.70,J211&gt;=0.70,M211&gt;0),"Yes","No"))</f>
        <v/>
      </c>
      <c r="V211">
        <f>IF(A211="","",IF(AND(S211="Low Movement",M211&gt;0,P211&gt;=2),"Yes","No"))</f>
        <v/>
      </c>
      <c r="W211" s="2">
        <f>IF(T211="","",MIN(0.12,IF(T211="High Value Bundle",0.05,IF(T211="Medium Value Bundle",0.07,0.10))+IF(P211&gt;=8,0.02,0)))</f>
        <v/>
      </c>
      <c r="X211">
        <f>IF(U211="Yes",C211&amp;"|anchor","")</f>
        <v/>
      </c>
      <c r="Y211">
        <f>IF(U211="Yes",B211,"")</f>
        <v/>
      </c>
    </row>
    <row r="212">
      <c r="A212">
        <f>Input_Data!C212</f>
        <v/>
      </c>
      <c r="B212">
        <f>Input_Data!A212</f>
        <v/>
      </c>
      <c r="C212">
        <f>Input_Data!B212</f>
        <v/>
      </c>
      <c r="D212">
        <f>Input_Data!D212</f>
        <v/>
      </c>
      <c r="E212">
        <f>IF(A212="","",SUM(Input_Data!E212:H212))</f>
        <v/>
      </c>
      <c r="F212">
        <f>IF(E212="","",E212/4)</f>
        <v/>
      </c>
      <c r="G212" s="2">
        <f>IF(E212="","",IF(COUNTA($E$2:$E$300)&lt;=1,0,PERCENTRANK.INC($E$2:$E$300,E212)))</f>
        <v/>
      </c>
      <c r="H212" s="2">
        <f>IF(G212="","",1-G212)</f>
        <v/>
      </c>
      <c r="I212" s="2">
        <f>Input_Data!I212</f>
        <v/>
      </c>
      <c r="J212" s="2">
        <f>IF(I212="","",IF(COUNTA($I$2:$I$300)&lt;=1,0,PERCENTRANK.INC($I$2:$I$300,I212)))</f>
        <v/>
      </c>
      <c r="K212">
        <f>Input_Data!J212</f>
        <v/>
      </c>
      <c r="L212">
        <f>Input_Data!K212</f>
        <v/>
      </c>
      <c r="M212">
        <f>Input_Data!L212</f>
        <v/>
      </c>
      <c r="N212">
        <f>IF(K212="","",K212-L212)</f>
        <v/>
      </c>
      <c r="O212">
        <f>IF(A212="","",IF(ABS(M212-N212)&lt;=1,"OK","CHECK"))</f>
        <v/>
      </c>
      <c r="P212">
        <f>IF(M212="","",IF(F212=0,99,M212/F212))</f>
        <v/>
      </c>
      <c r="Q212" s="2">
        <f>IF(P212="","",IF(COUNTA($P$2:$P$300)&lt;=1,0,PERCENTRANK.INC($P$2:$P$300,P212)))</f>
        <v/>
      </c>
      <c r="R212" s="2">
        <f>IF(A212="","",0.45*H212+0.35*Q212+0.20*J212)</f>
        <v/>
      </c>
      <c r="S212">
        <f>IF(G212="","",IF(G212&lt;=0.33,"Low Movement",IF(G212&lt;=0.66,"Medium Movement","High Movement")))</f>
        <v/>
      </c>
      <c r="T212">
        <f>IF(R212="","",IF(R212&gt;=0.67,"High Value Bundle",IF(R212&gt;=0.34,"Medium Value Bundle","Low Value Bundle")))</f>
        <v/>
      </c>
      <c r="U212">
        <f>IF(A212="","",IF(AND(G212&gt;=0.70,J212&gt;=0.70,M212&gt;0),"Yes","No"))</f>
        <v/>
      </c>
      <c r="V212">
        <f>IF(A212="","",IF(AND(S212="Low Movement",M212&gt;0,P212&gt;=2),"Yes","No"))</f>
        <v/>
      </c>
      <c r="W212" s="2">
        <f>IF(T212="","",MIN(0.12,IF(T212="High Value Bundle",0.05,IF(T212="Medium Value Bundle",0.07,0.10))+IF(P212&gt;=8,0.02,0)))</f>
        <v/>
      </c>
      <c r="X212">
        <f>IF(U212="Yes",C212&amp;"|anchor","")</f>
        <v/>
      </c>
      <c r="Y212">
        <f>IF(U212="Yes",B212,"")</f>
        <v/>
      </c>
    </row>
    <row r="213">
      <c r="A213">
        <f>Input_Data!C213</f>
        <v/>
      </c>
      <c r="B213">
        <f>Input_Data!A213</f>
        <v/>
      </c>
      <c r="C213">
        <f>Input_Data!B213</f>
        <v/>
      </c>
      <c r="D213">
        <f>Input_Data!D213</f>
        <v/>
      </c>
      <c r="E213">
        <f>IF(A213="","",SUM(Input_Data!E213:H213))</f>
        <v/>
      </c>
      <c r="F213">
        <f>IF(E213="","",E213/4)</f>
        <v/>
      </c>
      <c r="G213" s="2">
        <f>IF(E213="","",IF(COUNTA($E$2:$E$300)&lt;=1,0,PERCENTRANK.INC($E$2:$E$300,E213)))</f>
        <v/>
      </c>
      <c r="H213" s="2">
        <f>IF(G213="","",1-G213)</f>
        <v/>
      </c>
      <c r="I213" s="2">
        <f>Input_Data!I213</f>
        <v/>
      </c>
      <c r="J213" s="2">
        <f>IF(I213="","",IF(COUNTA($I$2:$I$300)&lt;=1,0,PERCENTRANK.INC($I$2:$I$300,I213)))</f>
        <v/>
      </c>
      <c r="K213">
        <f>Input_Data!J213</f>
        <v/>
      </c>
      <c r="L213">
        <f>Input_Data!K213</f>
        <v/>
      </c>
      <c r="M213">
        <f>Input_Data!L213</f>
        <v/>
      </c>
      <c r="N213">
        <f>IF(K213="","",K213-L213)</f>
        <v/>
      </c>
      <c r="O213">
        <f>IF(A213="","",IF(ABS(M213-N213)&lt;=1,"OK","CHECK"))</f>
        <v/>
      </c>
      <c r="P213">
        <f>IF(M213="","",IF(F213=0,99,M213/F213))</f>
        <v/>
      </c>
      <c r="Q213" s="2">
        <f>IF(P213="","",IF(COUNTA($P$2:$P$300)&lt;=1,0,PERCENTRANK.INC($P$2:$P$300,P213)))</f>
        <v/>
      </c>
      <c r="R213" s="2">
        <f>IF(A213="","",0.45*H213+0.35*Q213+0.20*J213)</f>
        <v/>
      </c>
      <c r="S213">
        <f>IF(G213="","",IF(G213&lt;=0.33,"Low Movement",IF(G213&lt;=0.66,"Medium Movement","High Movement")))</f>
        <v/>
      </c>
      <c r="T213">
        <f>IF(R213="","",IF(R213&gt;=0.67,"High Value Bundle",IF(R213&gt;=0.34,"Medium Value Bundle","Low Value Bundle")))</f>
        <v/>
      </c>
      <c r="U213">
        <f>IF(A213="","",IF(AND(G213&gt;=0.70,J213&gt;=0.70,M213&gt;0),"Yes","No"))</f>
        <v/>
      </c>
      <c r="V213">
        <f>IF(A213="","",IF(AND(S213="Low Movement",M213&gt;0,P213&gt;=2),"Yes","No"))</f>
        <v/>
      </c>
      <c r="W213" s="2">
        <f>IF(T213="","",MIN(0.12,IF(T213="High Value Bundle",0.05,IF(T213="Medium Value Bundle",0.07,0.10))+IF(P213&gt;=8,0.02,0)))</f>
        <v/>
      </c>
      <c r="X213">
        <f>IF(U213="Yes",C213&amp;"|anchor","")</f>
        <v/>
      </c>
      <c r="Y213">
        <f>IF(U213="Yes",B213,"")</f>
        <v/>
      </c>
    </row>
    <row r="214">
      <c r="A214">
        <f>Input_Data!C214</f>
        <v/>
      </c>
      <c r="B214">
        <f>Input_Data!A214</f>
        <v/>
      </c>
      <c r="C214">
        <f>Input_Data!B214</f>
        <v/>
      </c>
      <c r="D214">
        <f>Input_Data!D214</f>
        <v/>
      </c>
      <c r="E214">
        <f>IF(A214="","",SUM(Input_Data!E214:H214))</f>
        <v/>
      </c>
      <c r="F214">
        <f>IF(E214="","",E214/4)</f>
        <v/>
      </c>
      <c r="G214" s="2">
        <f>IF(E214="","",IF(COUNTA($E$2:$E$300)&lt;=1,0,PERCENTRANK.INC($E$2:$E$300,E214)))</f>
        <v/>
      </c>
      <c r="H214" s="2">
        <f>IF(G214="","",1-G214)</f>
        <v/>
      </c>
      <c r="I214" s="2">
        <f>Input_Data!I214</f>
        <v/>
      </c>
      <c r="J214" s="2">
        <f>IF(I214="","",IF(COUNTA($I$2:$I$300)&lt;=1,0,PERCENTRANK.INC($I$2:$I$300,I214)))</f>
        <v/>
      </c>
      <c r="K214">
        <f>Input_Data!J214</f>
        <v/>
      </c>
      <c r="L214">
        <f>Input_Data!K214</f>
        <v/>
      </c>
      <c r="M214">
        <f>Input_Data!L214</f>
        <v/>
      </c>
      <c r="N214">
        <f>IF(K214="","",K214-L214)</f>
        <v/>
      </c>
      <c r="O214">
        <f>IF(A214="","",IF(ABS(M214-N214)&lt;=1,"OK","CHECK"))</f>
        <v/>
      </c>
      <c r="P214">
        <f>IF(M214="","",IF(F214=0,99,M214/F214))</f>
        <v/>
      </c>
      <c r="Q214" s="2">
        <f>IF(P214="","",IF(COUNTA($P$2:$P$300)&lt;=1,0,PERCENTRANK.INC($P$2:$P$300,P214)))</f>
        <v/>
      </c>
      <c r="R214" s="2">
        <f>IF(A214="","",0.45*H214+0.35*Q214+0.20*J214)</f>
        <v/>
      </c>
      <c r="S214">
        <f>IF(G214="","",IF(G214&lt;=0.33,"Low Movement",IF(G214&lt;=0.66,"Medium Movement","High Movement")))</f>
        <v/>
      </c>
      <c r="T214">
        <f>IF(R214="","",IF(R214&gt;=0.67,"High Value Bundle",IF(R214&gt;=0.34,"Medium Value Bundle","Low Value Bundle")))</f>
        <v/>
      </c>
      <c r="U214">
        <f>IF(A214="","",IF(AND(G214&gt;=0.70,J214&gt;=0.70,M214&gt;0),"Yes","No"))</f>
        <v/>
      </c>
      <c r="V214">
        <f>IF(A214="","",IF(AND(S214="Low Movement",M214&gt;0,P214&gt;=2),"Yes","No"))</f>
        <v/>
      </c>
      <c r="W214" s="2">
        <f>IF(T214="","",MIN(0.12,IF(T214="High Value Bundle",0.05,IF(T214="Medium Value Bundle",0.07,0.10))+IF(P214&gt;=8,0.02,0)))</f>
        <v/>
      </c>
      <c r="X214">
        <f>IF(U214="Yes",C214&amp;"|anchor","")</f>
        <v/>
      </c>
      <c r="Y214">
        <f>IF(U214="Yes",B214,"")</f>
        <v/>
      </c>
    </row>
    <row r="215">
      <c r="A215">
        <f>Input_Data!C215</f>
        <v/>
      </c>
      <c r="B215">
        <f>Input_Data!A215</f>
        <v/>
      </c>
      <c r="C215">
        <f>Input_Data!B215</f>
        <v/>
      </c>
      <c r="D215">
        <f>Input_Data!D215</f>
        <v/>
      </c>
      <c r="E215">
        <f>IF(A215="","",SUM(Input_Data!E215:H215))</f>
        <v/>
      </c>
      <c r="F215">
        <f>IF(E215="","",E215/4)</f>
        <v/>
      </c>
      <c r="G215" s="2">
        <f>IF(E215="","",IF(COUNTA($E$2:$E$300)&lt;=1,0,PERCENTRANK.INC($E$2:$E$300,E215)))</f>
        <v/>
      </c>
      <c r="H215" s="2">
        <f>IF(G215="","",1-G215)</f>
        <v/>
      </c>
      <c r="I215" s="2">
        <f>Input_Data!I215</f>
        <v/>
      </c>
      <c r="J215" s="2">
        <f>IF(I215="","",IF(COUNTA($I$2:$I$300)&lt;=1,0,PERCENTRANK.INC($I$2:$I$300,I215)))</f>
        <v/>
      </c>
      <c r="K215">
        <f>Input_Data!J215</f>
        <v/>
      </c>
      <c r="L215">
        <f>Input_Data!K215</f>
        <v/>
      </c>
      <c r="M215">
        <f>Input_Data!L215</f>
        <v/>
      </c>
      <c r="N215">
        <f>IF(K215="","",K215-L215)</f>
        <v/>
      </c>
      <c r="O215">
        <f>IF(A215="","",IF(ABS(M215-N215)&lt;=1,"OK","CHECK"))</f>
        <v/>
      </c>
      <c r="P215">
        <f>IF(M215="","",IF(F215=0,99,M215/F215))</f>
        <v/>
      </c>
      <c r="Q215" s="2">
        <f>IF(P215="","",IF(COUNTA($P$2:$P$300)&lt;=1,0,PERCENTRANK.INC($P$2:$P$300,P215)))</f>
        <v/>
      </c>
      <c r="R215" s="2">
        <f>IF(A215="","",0.45*H215+0.35*Q215+0.20*J215)</f>
        <v/>
      </c>
      <c r="S215">
        <f>IF(G215="","",IF(G215&lt;=0.33,"Low Movement",IF(G215&lt;=0.66,"Medium Movement","High Movement")))</f>
        <v/>
      </c>
      <c r="T215">
        <f>IF(R215="","",IF(R215&gt;=0.67,"High Value Bundle",IF(R215&gt;=0.34,"Medium Value Bundle","Low Value Bundle")))</f>
        <v/>
      </c>
      <c r="U215">
        <f>IF(A215="","",IF(AND(G215&gt;=0.70,J215&gt;=0.70,M215&gt;0),"Yes","No"))</f>
        <v/>
      </c>
      <c r="V215">
        <f>IF(A215="","",IF(AND(S215="Low Movement",M215&gt;0,P215&gt;=2),"Yes","No"))</f>
        <v/>
      </c>
      <c r="W215" s="2">
        <f>IF(T215="","",MIN(0.12,IF(T215="High Value Bundle",0.05,IF(T215="Medium Value Bundle",0.07,0.10))+IF(P215&gt;=8,0.02,0)))</f>
        <v/>
      </c>
      <c r="X215">
        <f>IF(U215="Yes",C215&amp;"|anchor","")</f>
        <v/>
      </c>
      <c r="Y215">
        <f>IF(U215="Yes",B215,"")</f>
        <v/>
      </c>
    </row>
    <row r="216">
      <c r="A216">
        <f>Input_Data!C216</f>
        <v/>
      </c>
      <c r="B216">
        <f>Input_Data!A216</f>
        <v/>
      </c>
      <c r="C216">
        <f>Input_Data!B216</f>
        <v/>
      </c>
      <c r="D216">
        <f>Input_Data!D216</f>
        <v/>
      </c>
      <c r="E216">
        <f>IF(A216="","",SUM(Input_Data!E216:H216))</f>
        <v/>
      </c>
      <c r="F216">
        <f>IF(E216="","",E216/4)</f>
        <v/>
      </c>
      <c r="G216" s="2">
        <f>IF(E216="","",IF(COUNTA($E$2:$E$300)&lt;=1,0,PERCENTRANK.INC($E$2:$E$300,E216)))</f>
        <v/>
      </c>
      <c r="H216" s="2">
        <f>IF(G216="","",1-G216)</f>
        <v/>
      </c>
      <c r="I216" s="2">
        <f>Input_Data!I216</f>
        <v/>
      </c>
      <c r="J216" s="2">
        <f>IF(I216="","",IF(COUNTA($I$2:$I$300)&lt;=1,0,PERCENTRANK.INC($I$2:$I$300,I216)))</f>
        <v/>
      </c>
      <c r="K216">
        <f>Input_Data!J216</f>
        <v/>
      </c>
      <c r="L216">
        <f>Input_Data!K216</f>
        <v/>
      </c>
      <c r="M216">
        <f>Input_Data!L216</f>
        <v/>
      </c>
      <c r="N216">
        <f>IF(K216="","",K216-L216)</f>
        <v/>
      </c>
      <c r="O216">
        <f>IF(A216="","",IF(ABS(M216-N216)&lt;=1,"OK","CHECK"))</f>
        <v/>
      </c>
      <c r="P216">
        <f>IF(M216="","",IF(F216=0,99,M216/F216))</f>
        <v/>
      </c>
      <c r="Q216" s="2">
        <f>IF(P216="","",IF(COUNTA($P$2:$P$300)&lt;=1,0,PERCENTRANK.INC($P$2:$P$300,P216)))</f>
        <v/>
      </c>
      <c r="R216" s="2">
        <f>IF(A216="","",0.45*H216+0.35*Q216+0.20*J216)</f>
        <v/>
      </c>
      <c r="S216">
        <f>IF(G216="","",IF(G216&lt;=0.33,"Low Movement",IF(G216&lt;=0.66,"Medium Movement","High Movement")))</f>
        <v/>
      </c>
      <c r="T216">
        <f>IF(R216="","",IF(R216&gt;=0.67,"High Value Bundle",IF(R216&gt;=0.34,"Medium Value Bundle","Low Value Bundle")))</f>
        <v/>
      </c>
      <c r="U216">
        <f>IF(A216="","",IF(AND(G216&gt;=0.70,J216&gt;=0.70,M216&gt;0),"Yes","No"))</f>
        <v/>
      </c>
      <c r="V216">
        <f>IF(A216="","",IF(AND(S216="Low Movement",M216&gt;0,P216&gt;=2),"Yes","No"))</f>
        <v/>
      </c>
      <c r="W216" s="2">
        <f>IF(T216="","",MIN(0.12,IF(T216="High Value Bundle",0.05,IF(T216="Medium Value Bundle",0.07,0.10))+IF(P216&gt;=8,0.02,0)))</f>
        <v/>
      </c>
      <c r="X216">
        <f>IF(U216="Yes",C216&amp;"|anchor","")</f>
        <v/>
      </c>
      <c r="Y216">
        <f>IF(U216="Yes",B216,"")</f>
        <v/>
      </c>
    </row>
    <row r="217">
      <c r="A217">
        <f>Input_Data!C217</f>
        <v/>
      </c>
      <c r="B217">
        <f>Input_Data!A217</f>
        <v/>
      </c>
      <c r="C217">
        <f>Input_Data!B217</f>
        <v/>
      </c>
      <c r="D217">
        <f>Input_Data!D217</f>
        <v/>
      </c>
      <c r="E217">
        <f>IF(A217="","",SUM(Input_Data!E217:H217))</f>
        <v/>
      </c>
      <c r="F217">
        <f>IF(E217="","",E217/4)</f>
        <v/>
      </c>
      <c r="G217" s="2">
        <f>IF(E217="","",IF(COUNTA($E$2:$E$300)&lt;=1,0,PERCENTRANK.INC($E$2:$E$300,E217)))</f>
        <v/>
      </c>
      <c r="H217" s="2">
        <f>IF(G217="","",1-G217)</f>
        <v/>
      </c>
      <c r="I217" s="2">
        <f>Input_Data!I217</f>
        <v/>
      </c>
      <c r="J217" s="2">
        <f>IF(I217="","",IF(COUNTA($I$2:$I$300)&lt;=1,0,PERCENTRANK.INC($I$2:$I$300,I217)))</f>
        <v/>
      </c>
      <c r="K217">
        <f>Input_Data!J217</f>
        <v/>
      </c>
      <c r="L217">
        <f>Input_Data!K217</f>
        <v/>
      </c>
      <c r="M217">
        <f>Input_Data!L217</f>
        <v/>
      </c>
      <c r="N217">
        <f>IF(K217="","",K217-L217)</f>
        <v/>
      </c>
      <c r="O217">
        <f>IF(A217="","",IF(ABS(M217-N217)&lt;=1,"OK","CHECK"))</f>
        <v/>
      </c>
      <c r="P217">
        <f>IF(M217="","",IF(F217=0,99,M217/F217))</f>
        <v/>
      </c>
      <c r="Q217" s="2">
        <f>IF(P217="","",IF(COUNTA($P$2:$P$300)&lt;=1,0,PERCENTRANK.INC($P$2:$P$300,P217)))</f>
        <v/>
      </c>
      <c r="R217" s="2">
        <f>IF(A217="","",0.45*H217+0.35*Q217+0.20*J217)</f>
        <v/>
      </c>
      <c r="S217">
        <f>IF(G217="","",IF(G217&lt;=0.33,"Low Movement",IF(G217&lt;=0.66,"Medium Movement","High Movement")))</f>
        <v/>
      </c>
      <c r="T217">
        <f>IF(R217="","",IF(R217&gt;=0.67,"High Value Bundle",IF(R217&gt;=0.34,"Medium Value Bundle","Low Value Bundle")))</f>
        <v/>
      </c>
      <c r="U217">
        <f>IF(A217="","",IF(AND(G217&gt;=0.70,J217&gt;=0.70,M217&gt;0),"Yes","No"))</f>
        <v/>
      </c>
      <c r="V217">
        <f>IF(A217="","",IF(AND(S217="Low Movement",M217&gt;0,P217&gt;=2),"Yes","No"))</f>
        <v/>
      </c>
      <c r="W217" s="2">
        <f>IF(T217="","",MIN(0.12,IF(T217="High Value Bundle",0.05,IF(T217="Medium Value Bundle",0.07,0.10))+IF(P217&gt;=8,0.02,0)))</f>
        <v/>
      </c>
      <c r="X217">
        <f>IF(U217="Yes",C217&amp;"|anchor","")</f>
        <v/>
      </c>
      <c r="Y217">
        <f>IF(U217="Yes",B217,"")</f>
        <v/>
      </c>
    </row>
    <row r="218">
      <c r="A218">
        <f>Input_Data!C218</f>
        <v/>
      </c>
      <c r="B218">
        <f>Input_Data!A218</f>
        <v/>
      </c>
      <c r="C218">
        <f>Input_Data!B218</f>
        <v/>
      </c>
      <c r="D218">
        <f>Input_Data!D218</f>
        <v/>
      </c>
      <c r="E218">
        <f>IF(A218="","",SUM(Input_Data!E218:H218))</f>
        <v/>
      </c>
      <c r="F218">
        <f>IF(E218="","",E218/4)</f>
        <v/>
      </c>
      <c r="G218" s="2">
        <f>IF(E218="","",IF(COUNTA($E$2:$E$300)&lt;=1,0,PERCENTRANK.INC($E$2:$E$300,E218)))</f>
        <v/>
      </c>
      <c r="H218" s="2">
        <f>IF(G218="","",1-G218)</f>
        <v/>
      </c>
      <c r="I218" s="2">
        <f>Input_Data!I218</f>
        <v/>
      </c>
      <c r="J218" s="2">
        <f>IF(I218="","",IF(COUNTA($I$2:$I$300)&lt;=1,0,PERCENTRANK.INC($I$2:$I$300,I218)))</f>
        <v/>
      </c>
      <c r="K218">
        <f>Input_Data!J218</f>
        <v/>
      </c>
      <c r="L218">
        <f>Input_Data!K218</f>
        <v/>
      </c>
      <c r="M218">
        <f>Input_Data!L218</f>
        <v/>
      </c>
      <c r="N218">
        <f>IF(K218="","",K218-L218)</f>
        <v/>
      </c>
      <c r="O218">
        <f>IF(A218="","",IF(ABS(M218-N218)&lt;=1,"OK","CHECK"))</f>
        <v/>
      </c>
      <c r="P218">
        <f>IF(M218="","",IF(F218=0,99,M218/F218))</f>
        <v/>
      </c>
      <c r="Q218" s="2">
        <f>IF(P218="","",IF(COUNTA($P$2:$P$300)&lt;=1,0,PERCENTRANK.INC($P$2:$P$300,P218)))</f>
        <v/>
      </c>
      <c r="R218" s="2">
        <f>IF(A218="","",0.45*H218+0.35*Q218+0.20*J218)</f>
        <v/>
      </c>
      <c r="S218">
        <f>IF(G218="","",IF(G218&lt;=0.33,"Low Movement",IF(G218&lt;=0.66,"Medium Movement","High Movement")))</f>
        <v/>
      </c>
      <c r="T218">
        <f>IF(R218="","",IF(R218&gt;=0.67,"High Value Bundle",IF(R218&gt;=0.34,"Medium Value Bundle","Low Value Bundle")))</f>
        <v/>
      </c>
      <c r="U218">
        <f>IF(A218="","",IF(AND(G218&gt;=0.70,J218&gt;=0.70,M218&gt;0),"Yes","No"))</f>
        <v/>
      </c>
      <c r="V218">
        <f>IF(A218="","",IF(AND(S218="Low Movement",M218&gt;0,P218&gt;=2),"Yes","No"))</f>
        <v/>
      </c>
      <c r="W218" s="2">
        <f>IF(T218="","",MIN(0.12,IF(T218="High Value Bundle",0.05,IF(T218="Medium Value Bundle",0.07,0.10))+IF(P218&gt;=8,0.02,0)))</f>
        <v/>
      </c>
      <c r="X218">
        <f>IF(U218="Yes",C218&amp;"|anchor","")</f>
        <v/>
      </c>
      <c r="Y218">
        <f>IF(U218="Yes",B218,"")</f>
        <v/>
      </c>
    </row>
    <row r="219">
      <c r="A219">
        <f>Input_Data!C219</f>
        <v/>
      </c>
      <c r="B219">
        <f>Input_Data!A219</f>
        <v/>
      </c>
      <c r="C219">
        <f>Input_Data!B219</f>
        <v/>
      </c>
      <c r="D219">
        <f>Input_Data!D219</f>
        <v/>
      </c>
      <c r="E219">
        <f>IF(A219="","",SUM(Input_Data!E219:H219))</f>
        <v/>
      </c>
      <c r="F219">
        <f>IF(E219="","",E219/4)</f>
        <v/>
      </c>
      <c r="G219" s="2">
        <f>IF(E219="","",IF(COUNTA($E$2:$E$300)&lt;=1,0,PERCENTRANK.INC($E$2:$E$300,E219)))</f>
        <v/>
      </c>
      <c r="H219" s="2">
        <f>IF(G219="","",1-G219)</f>
        <v/>
      </c>
      <c r="I219" s="2">
        <f>Input_Data!I219</f>
        <v/>
      </c>
      <c r="J219" s="2">
        <f>IF(I219="","",IF(COUNTA($I$2:$I$300)&lt;=1,0,PERCENTRANK.INC($I$2:$I$300,I219)))</f>
        <v/>
      </c>
      <c r="K219">
        <f>Input_Data!J219</f>
        <v/>
      </c>
      <c r="L219">
        <f>Input_Data!K219</f>
        <v/>
      </c>
      <c r="M219">
        <f>Input_Data!L219</f>
        <v/>
      </c>
      <c r="N219">
        <f>IF(K219="","",K219-L219)</f>
        <v/>
      </c>
      <c r="O219">
        <f>IF(A219="","",IF(ABS(M219-N219)&lt;=1,"OK","CHECK"))</f>
        <v/>
      </c>
      <c r="P219">
        <f>IF(M219="","",IF(F219=0,99,M219/F219))</f>
        <v/>
      </c>
      <c r="Q219" s="2">
        <f>IF(P219="","",IF(COUNTA($P$2:$P$300)&lt;=1,0,PERCENTRANK.INC($P$2:$P$300,P219)))</f>
        <v/>
      </c>
      <c r="R219" s="2">
        <f>IF(A219="","",0.45*H219+0.35*Q219+0.20*J219)</f>
        <v/>
      </c>
      <c r="S219">
        <f>IF(G219="","",IF(G219&lt;=0.33,"Low Movement",IF(G219&lt;=0.66,"Medium Movement","High Movement")))</f>
        <v/>
      </c>
      <c r="T219">
        <f>IF(R219="","",IF(R219&gt;=0.67,"High Value Bundle",IF(R219&gt;=0.34,"Medium Value Bundle","Low Value Bundle")))</f>
        <v/>
      </c>
      <c r="U219">
        <f>IF(A219="","",IF(AND(G219&gt;=0.70,J219&gt;=0.70,M219&gt;0),"Yes","No"))</f>
        <v/>
      </c>
      <c r="V219">
        <f>IF(A219="","",IF(AND(S219="Low Movement",M219&gt;0,P219&gt;=2),"Yes","No"))</f>
        <v/>
      </c>
      <c r="W219" s="2">
        <f>IF(T219="","",MIN(0.12,IF(T219="High Value Bundle",0.05,IF(T219="Medium Value Bundle",0.07,0.10))+IF(P219&gt;=8,0.02,0)))</f>
        <v/>
      </c>
      <c r="X219">
        <f>IF(U219="Yes",C219&amp;"|anchor","")</f>
        <v/>
      </c>
      <c r="Y219">
        <f>IF(U219="Yes",B219,"")</f>
        <v/>
      </c>
    </row>
    <row r="220">
      <c r="A220">
        <f>Input_Data!C220</f>
        <v/>
      </c>
      <c r="B220">
        <f>Input_Data!A220</f>
        <v/>
      </c>
      <c r="C220">
        <f>Input_Data!B220</f>
        <v/>
      </c>
      <c r="D220">
        <f>Input_Data!D220</f>
        <v/>
      </c>
      <c r="E220">
        <f>IF(A220="","",SUM(Input_Data!E220:H220))</f>
        <v/>
      </c>
      <c r="F220">
        <f>IF(E220="","",E220/4)</f>
        <v/>
      </c>
      <c r="G220" s="2">
        <f>IF(E220="","",IF(COUNTA($E$2:$E$300)&lt;=1,0,PERCENTRANK.INC($E$2:$E$300,E220)))</f>
        <v/>
      </c>
      <c r="H220" s="2">
        <f>IF(G220="","",1-G220)</f>
        <v/>
      </c>
      <c r="I220" s="2">
        <f>Input_Data!I220</f>
        <v/>
      </c>
      <c r="J220" s="2">
        <f>IF(I220="","",IF(COUNTA($I$2:$I$300)&lt;=1,0,PERCENTRANK.INC($I$2:$I$300,I220)))</f>
        <v/>
      </c>
      <c r="K220">
        <f>Input_Data!J220</f>
        <v/>
      </c>
      <c r="L220">
        <f>Input_Data!K220</f>
        <v/>
      </c>
      <c r="M220">
        <f>Input_Data!L220</f>
        <v/>
      </c>
      <c r="N220">
        <f>IF(K220="","",K220-L220)</f>
        <v/>
      </c>
      <c r="O220">
        <f>IF(A220="","",IF(ABS(M220-N220)&lt;=1,"OK","CHECK"))</f>
        <v/>
      </c>
      <c r="P220">
        <f>IF(M220="","",IF(F220=0,99,M220/F220))</f>
        <v/>
      </c>
      <c r="Q220" s="2">
        <f>IF(P220="","",IF(COUNTA($P$2:$P$300)&lt;=1,0,PERCENTRANK.INC($P$2:$P$300,P220)))</f>
        <v/>
      </c>
      <c r="R220" s="2">
        <f>IF(A220="","",0.45*H220+0.35*Q220+0.20*J220)</f>
        <v/>
      </c>
      <c r="S220">
        <f>IF(G220="","",IF(G220&lt;=0.33,"Low Movement",IF(G220&lt;=0.66,"Medium Movement","High Movement")))</f>
        <v/>
      </c>
      <c r="T220">
        <f>IF(R220="","",IF(R220&gt;=0.67,"High Value Bundle",IF(R220&gt;=0.34,"Medium Value Bundle","Low Value Bundle")))</f>
        <v/>
      </c>
      <c r="U220">
        <f>IF(A220="","",IF(AND(G220&gt;=0.70,J220&gt;=0.70,M220&gt;0),"Yes","No"))</f>
        <v/>
      </c>
      <c r="V220">
        <f>IF(A220="","",IF(AND(S220="Low Movement",M220&gt;0,P220&gt;=2),"Yes","No"))</f>
        <v/>
      </c>
      <c r="W220" s="2">
        <f>IF(T220="","",MIN(0.12,IF(T220="High Value Bundle",0.05,IF(T220="Medium Value Bundle",0.07,0.10))+IF(P220&gt;=8,0.02,0)))</f>
        <v/>
      </c>
      <c r="X220">
        <f>IF(U220="Yes",C220&amp;"|anchor","")</f>
        <v/>
      </c>
      <c r="Y220">
        <f>IF(U220="Yes",B220,"")</f>
        <v/>
      </c>
    </row>
    <row r="221">
      <c r="A221">
        <f>Input_Data!C221</f>
        <v/>
      </c>
      <c r="B221">
        <f>Input_Data!A221</f>
        <v/>
      </c>
      <c r="C221">
        <f>Input_Data!B221</f>
        <v/>
      </c>
      <c r="D221">
        <f>Input_Data!D221</f>
        <v/>
      </c>
      <c r="E221">
        <f>IF(A221="","",SUM(Input_Data!E221:H221))</f>
        <v/>
      </c>
      <c r="F221">
        <f>IF(E221="","",E221/4)</f>
        <v/>
      </c>
      <c r="G221" s="2">
        <f>IF(E221="","",IF(COUNTA($E$2:$E$300)&lt;=1,0,PERCENTRANK.INC($E$2:$E$300,E221)))</f>
        <v/>
      </c>
      <c r="H221" s="2">
        <f>IF(G221="","",1-G221)</f>
        <v/>
      </c>
      <c r="I221" s="2">
        <f>Input_Data!I221</f>
        <v/>
      </c>
      <c r="J221" s="2">
        <f>IF(I221="","",IF(COUNTA($I$2:$I$300)&lt;=1,0,PERCENTRANK.INC($I$2:$I$300,I221)))</f>
        <v/>
      </c>
      <c r="K221">
        <f>Input_Data!J221</f>
        <v/>
      </c>
      <c r="L221">
        <f>Input_Data!K221</f>
        <v/>
      </c>
      <c r="M221">
        <f>Input_Data!L221</f>
        <v/>
      </c>
      <c r="N221">
        <f>IF(K221="","",K221-L221)</f>
        <v/>
      </c>
      <c r="O221">
        <f>IF(A221="","",IF(ABS(M221-N221)&lt;=1,"OK","CHECK"))</f>
        <v/>
      </c>
      <c r="P221">
        <f>IF(M221="","",IF(F221=0,99,M221/F221))</f>
        <v/>
      </c>
      <c r="Q221" s="2">
        <f>IF(P221="","",IF(COUNTA($P$2:$P$300)&lt;=1,0,PERCENTRANK.INC($P$2:$P$300,P221)))</f>
        <v/>
      </c>
      <c r="R221" s="2">
        <f>IF(A221="","",0.45*H221+0.35*Q221+0.20*J221)</f>
        <v/>
      </c>
      <c r="S221">
        <f>IF(G221="","",IF(G221&lt;=0.33,"Low Movement",IF(G221&lt;=0.66,"Medium Movement","High Movement")))</f>
        <v/>
      </c>
      <c r="T221">
        <f>IF(R221="","",IF(R221&gt;=0.67,"High Value Bundle",IF(R221&gt;=0.34,"Medium Value Bundle","Low Value Bundle")))</f>
        <v/>
      </c>
      <c r="U221">
        <f>IF(A221="","",IF(AND(G221&gt;=0.70,J221&gt;=0.70,M221&gt;0),"Yes","No"))</f>
        <v/>
      </c>
      <c r="V221">
        <f>IF(A221="","",IF(AND(S221="Low Movement",M221&gt;0,P221&gt;=2),"Yes","No"))</f>
        <v/>
      </c>
      <c r="W221" s="2">
        <f>IF(T221="","",MIN(0.12,IF(T221="High Value Bundle",0.05,IF(T221="Medium Value Bundle",0.07,0.10))+IF(P221&gt;=8,0.02,0)))</f>
        <v/>
      </c>
      <c r="X221">
        <f>IF(U221="Yes",C221&amp;"|anchor","")</f>
        <v/>
      </c>
      <c r="Y221">
        <f>IF(U221="Yes",B221,"")</f>
        <v/>
      </c>
    </row>
    <row r="222">
      <c r="A222">
        <f>Input_Data!C222</f>
        <v/>
      </c>
      <c r="B222">
        <f>Input_Data!A222</f>
        <v/>
      </c>
      <c r="C222">
        <f>Input_Data!B222</f>
        <v/>
      </c>
      <c r="D222">
        <f>Input_Data!D222</f>
        <v/>
      </c>
      <c r="E222">
        <f>IF(A222="","",SUM(Input_Data!E222:H222))</f>
        <v/>
      </c>
      <c r="F222">
        <f>IF(E222="","",E222/4)</f>
        <v/>
      </c>
      <c r="G222" s="2">
        <f>IF(E222="","",IF(COUNTA($E$2:$E$300)&lt;=1,0,PERCENTRANK.INC($E$2:$E$300,E222)))</f>
        <v/>
      </c>
      <c r="H222" s="2">
        <f>IF(G222="","",1-G222)</f>
        <v/>
      </c>
      <c r="I222" s="2">
        <f>Input_Data!I222</f>
        <v/>
      </c>
      <c r="J222" s="2">
        <f>IF(I222="","",IF(COUNTA($I$2:$I$300)&lt;=1,0,PERCENTRANK.INC($I$2:$I$300,I222)))</f>
        <v/>
      </c>
      <c r="K222">
        <f>Input_Data!J222</f>
        <v/>
      </c>
      <c r="L222">
        <f>Input_Data!K222</f>
        <v/>
      </c>
      <c r="M222">
        <f>Input_Data!L222</f>
        <v/>
      </c>
      <c r="N222">
        <f>IF(K222="","",K222-L222)</f>
        <v/>
      </c>
      <c r="O222">
        <f>IF(A222="","",IF(ABS(M222-N222)&lt;=1,"OK","CHECK"))</f>
        <v/>
      </c>
      <c r="P222">
        <f>IF(M222="","",IF(F222=0,99,M222/F222))</f>
        <v/>
      </c>
      <c r="Q222" s="2">
        <f>IF(P222="","",IF(COUNTA($P$2:$P$300)&lt;=1,0,PERCENTRANK.INC($P$2:$P$300,P222)))</f>
        <v/>
      </c>
      <c r="R222" s="2">
        <f>IF(A222="","",0.45*H222+0.35*Q222+0.20*J222)</f>
        <v/>
      </c>
      <c r="S222">
        <f>IF(G222="","",IF(G222&lt;=0.33,"Low Movement",IF(G222&lt;=0.66,"Medium Movement","High Movement")))</f>
        <v/>
      </c>
      <c r="T222">
        <f>IF(R222="","",IF(R222&gt;=0.67,"High Value Bundle",IF(R222&gt;=0.34,"Medium Value Bundle","Low Value Bundle")))</f>
        <v/>
      </c>
      <c r="U222">
        <f>IF(A222="","",IF(AND(G222&gt;=0.70,J222&gt;=0.70,M222&gt;0),"Yes","No"))</f>
        <v/>
      </c>
      <c r="V222">
        <f>IF(A222="","",IF(AND(S222="Low Movement",M222&gt;0,P222&gt;=2),"Yes","No"))</f>
        <v/>
      </c>
      <c r="W222" s="2">
        <f>IF(T222="","",MIN(0.12,IF(T222="High Value Bundle",0.05,IF(T222="Medium Value Bundle",0.07,0.10))+IF(P222&gt;=8,0.02,0)))</f>
        <v/>
      </c>
      <c r="X222">
        <f>IF(U222="Yes",C222&amp;"|anchor","")</f>
        <v/>
      </c>
      <c r="Y222">
        <f>IF(U222="Yes",B222,"")</f>
        <v/>
      </c>
    </row>
    <row r="223">
      <c r="A223">
        <f>Input_Data!C223</f>
        <v/>
      </c>
      <c r="B223">
        <f>Input_Data!A223</f>
        <v/>
      </c>
      <c r="C223">
        <f>Input_Data!B223</f>
        <v/>
      </c>
      <c r="D223">
        <f>Input_Data!D223</f>
        <v/>
      </c>
      <c r="E223">
        <f>IF(A223="","",SUM(Input_Data!E223:H223))</f>
        <v/>
      </c>
      <c r="F223">
        <f>IF(E223="","",E223/4)</f>
        <v/>
      </c>
      <c r="G223" s="2">
        <f>IF(E223="","",IF(COUNTA($E$2:$E$300)&lt;=1,0,PERCENTRANK.INC($E$2:$E$300,E223)))</f>
        <v/>
      </c>
      <c r="H223" s="2">
        <f>IF(G223="","",1-G223)</f>
        <v/>
      </c>
      <c r="I223" s="2">
        <f>Input_Data!I223</f>
        <v/>
      </c>
      <c r="J223" s="2">
        <f>IF(I223="","",IF(COUNTA($I$2:$I$300)&lt;=1,0,PERCENTRANK.INC($I$2:$I$300,I223)))</f>
        <v/>
      </c>
      <c r="K223">
        <f>Input_Data!J223</f>
        <v/>
      </c>
      <c r="L223">
        <f>Input_Data!K223</f>
        <v/>
      </c>
      <c r="M223">
        <f>Input_Data!L223</f>
        <v/>
      </c>
      <c r="N223">
        <f>IF(K223="","",K223-L223)</f>
        <v/>
      </c>
      <c r="O223">
        <f>IF(A223="","",IF(ABS(M223-N223)&lt;=1,"OK","CHECK"))</f>
        <v/>
      </c>
      <c r="P223">
        <f>IF(M223="","",IF(F223=0,99,M223/F223))</f>
        <v/>
      </c>
      <c r="Q223" s="2">
        <f>IF(P223="","",IF(COUNTA($P$2:$P$300)&lt;=1,0,PERCENTRANK.INC($P$2:$P$300,P223)))</f>
        <v/>
      </c>
      <c r="R223" s="2">
        <f>IF(A223="","",0.45*H223+0.35*Q223+0.20*J223)</f>
        <v/>
      </c>
      <c r="S223">
        <f>IF(G223="","",IF(G223&lt;=0.33,"Low Movement",IF(G223&lt;=0.66,"Medium Movement","High Movement")))</f>
        <v/>
      </c>
      <c r="T223">
        <f>IF(R223="","",IF(R223&gt;=0.67,"High Value Bundle",IF(R223&gt;=0.34,"Medium Value Bundle","Low Value Bundle")))</f>
        <v/>
      </c>
      <c r="U223">
        <f>IF(A223="","",IF(AND(G223&gt;=0.70,J223&gt;=0.70,M223&gt;0),"Yes","No"))</f>
        <v/>
      </c>
      <c r="V223">
        <f>IF(A223="","",IF(AND(S223="Low Movement",M223&gt;0,P223&gt;=2),"Yes","No"))</f>
        <v/>
      </c>
      <c r="W223" s="2">
        <f>IF(T223="","",MIN(0.12,IF(T223="High Value Bundle",0.05,IF(T223="Medium Value Bundle",0.07,0.10))+IF(P223&gt;=8,0.02,0)))</f>
        <v/>
      </c>
      <c r="X223">
        <f>IF(U223="Yes",C223&amp;"|anchor","")</f>
        <v/>
      </c>
      <c r="Y223">
        <f>IF(U223="Yes",B223,"")</f>
        <v/>
      </c>
    </row>
    <row r="224">
      <c r="A224">
        <f>Input_Data!C224</f>
        <v/>
      </c>
      <c r="B224">
        <f>Input_Data!A224</f>
        <v/>
      </c>
      <c r="C224">
        <f>Input_Data!B224</f>
        <v/>
      </c>
      <c r="D224">
        <f>Input_Data!D224</f>
        <v/>
      </c>
      <c r="E224">
        <f>IF(A224="","",SUM(Input_Data!E224:H224))</f>
        <v/>
      </c>
      <c r="F224">
        <f>IF(E224="","",E224/4)</f>
        <v/>
      </c>
      <c r="G224" s="2">
        <f>IF(E224="","",IF(COUNTA($E$2:$E$300)&lt;=1,0,PERCENTRANK.INC($E$2:$E$300,E224)))</f>
        <v/>
      </c>
      <c r="H224" s="2">
        <f>IF(G224="","",1-G224)</f>
        <v/>
      </c>
      <c r="I224" s="2">
        <f>Input_Data!I224</f>
        <v/>
      </c>
      <c r="J224" s="2">
        <f>IF(I224="","",IF(COUNTA($I$2:$I$300)&lt;=1,0,PERCENTRANK.INC($I$2:$I$300,I224)))</f>
        <v/>
      </c>
      <c r="K224">
        <f>Input_Data!J224</f>
        <v/>
      </c>
      <c r="L224">
        <f>Input_Data!K224</f>
        <v/>
      </c>
      <c r="M224">
        <f>Input_Data!L224</f>
        <v/>
      </c>
      <c r="N224">
        <f>IF(K224="","",K224-L224)</f>
        <v/>
      </c>
      <c r="O224">
        <f>IF(A224="","",IF(ABS(M224-N224)&lt;=1,"OK","CHECK"))</f>
        <v/>
      </c>
      <c r="P224">
        <f>IF(M224="","",IF(F224=0,99,M224/F224))</f>
        <v/>
      </c>
      <c r="Q224" s="2">
        <f>IF(P224="","",IF(COUNTA($P$2:$P$300)&lt;=1,0,PERCENTRANK.INC($P$2:$P$300,P224)))</f>
        <v/>
      </c>
      <c r="R224" s="2">
        <f>IF(A224="","",0.45*H224+0.35*Q224+0.20*J224)</f>
        <v/>
      </c>
      <c r="S224">
        <f>IF(G224="","",IF(G224&lt;=0.33,"Low Movement",IF(G224&lt;=0.66,"Medium Movement","High Movement")))</f>
        <v/>
      </c>
      <c r="T224">
        <f>IF(R224="","",IF(R224&gt;=0.67,"High Value Bundle",IF(R224&gt;=0.34,"Medium Value Bundle","Low Value Bundle")))</f>
        <v/>
      </c>
      <c r="U224">
        <f>IF(A224="","",IF(AND(G224&gt;=0.70,J224&gt;=0.70,M224&gt;0),"Yes","No"))</f>
        <v/>
      </c>
      <c r="V224">
        <f>IF(A224="","",IF(AND(S224="Low Movement",M224&gt;0,P224&gt;=2),"Yes","No"))</f>
        <v/>
      </c>
      <c r="W224" s="2">
        <f>IF(T224="","",MIN(0.12,IF(T224="High Value Bundle",0.05,IF(T224="Medium Value Bundle",0.07,0.10))+IF(P224&gt;=8,0.02,0)))</f>
        <v/>
      </c>
      <c r="X224">
        <f>IF(U224="Yes",C224&amp;"|anchor","")</f>
        <v/>
      </c>
      <c r="Y224">
        <f>IF(U224="Yes",B224,"")</f>
        <v/>
      </c>
    </row>
    <row r="225">
      <c r="A225">
        <f>Input_Data!C225</f>
        <v/>
      </c>
      <c r="B225">
        <f>Input_Data!A225</f>
        <v/>
      </c>
      <c r="C225">
        <f>Input_Data!B225</f>
        <v/>
      </c>
      <c r="D225">
        <f>Input_Data!D225</f>
        <v/>
      </c>
      <c r="E225">
        <f>IF(A225="","",SUM(Input_Data!E225:H225))</f>
        <v/>
      </c>
      <c r="F225">
        <f>IF(E225="","",E225/4)</f>
        <v/>
      </c>
      <c r="G225" s="2">
        <f>IF(E225="","",IF(COUNTA($E$2:$E$300)&lt;=1,0,PERCENTRANK.INC($E$2:$E$300,E225)))</f>
        <v/>
      </c>
      <c r="H225" s="2">
        <f>IF(G225="","",1-G225)</f>
        <v/>
      </c>
      <c r="I225" s="2">
        <f>Input_Data!I225</f>
        <v/>
      </c>
      <c r="J225" s="2">
        <f>IF(I225="","",IF(COUNTA($I$2:$I$300)&lt;=1,0,PERCENTRANK.INC($I$2:$I$300,I225)))</f>
        <v/>
      </c>
      <c r="K225">
        <f>Input_Data!J225</f>
        <v/>
      </c>
      <c r="L225">
        <f>Input_Data!K225</f>
        <v/>
      </c>
      <c r="M225">
        <f>Input_Data!L225</f>
        <v/>
      </c>
      <c r="N225">
        <f>IF(K225="","",K225-L225)</f>
        <v/>
      </c>
      <c r="O225">
        <f>IF(A225="","",IF(ABS(M225-N225)&lt;=1,"OK","CHECK"))</f>
        <v/>
      </c>
      <c r="P225">
        <f>IF(M225="","",IF(F225=0,99,M225/F225))</f>
        <v/>
      </c>
      <c r="Q225" s="2">
        <f>IF(P225="","",IF(COUNTA($P$2:$P$300)&lt;=1,0,PERCENTRANK.INC($P$2:$P$300,P225)))</f>
        <v/>
      </c>
      <c r="R225" s="2">
        <f>IF(A225="","",0.45*H225+0.35*Q225+0.20*J225)</f>
        <v/>
      </c>
      <c r="S225">
        <f>IF(G225="","",IF(G225&lt;=0.33,"Low Movement",IF(G225&lt;=0.66,"Medium Movement","High Movement")))</f>
        <v/>
      </c>
      <c r="T225">
        <f>IF(R225="","",IF(R225&gt;=0.67,"High Value Bundle",IF(R225&gt;=0.34,"Medium Value Bundle","Low Value Bundle")))</f>
        <v/>
      </c>
      <c r="U225">
        <f>IF(A225="","",IF(AND(G225&gt;=0.70,J225&gt;=0.70,M225&gt;0),"Yes","No"))</f>
        <v/>
      </c>
      <c r="V225">
        <f>IF(A225="","",IF(AND(S225="Low Movement",M225&gt;0,P225&gt;=2),"Yes","No"))</f>
        <v/>
      </c>
      <c r="W225" s="2">
        <f>IF(T225="","",MIN(0.12,IF(T225="High Value Bundle",0.05,IF(T225="Medium Value Bundle",0.07,0.10))+IF(P225&gt;=8,0.02,0)))</f>
        <v/>
      </c>
      <c r="X225">
        <f>IF(U225="Yes",C225&amp;"|anchor","")</f>
        <v/>
      </c>
      <c r="Y225">
        <f>IF(U225="Yes",B225,"")</f>
        <v/>
      </c>
    </row>
    <row r="226">
      <c r="A226">
        <f>Input_Data!C226</f>
        <v/>
      </c>
      <c r="B226">
        <f>Input_Data!A226</f>
        <v/>
      </c>
      <c r="C226">
        <f>Input_Data!B226</f>
        <v/>
      </c>
      <c r="D226">
        <f>Input_Data!D226</f>
        <v/>
      </c>
      <c r="E226">
        <f>IF(A226="","",SUM(Input_Data!E226:H226))</f>
        <v/>
      </c>
      <c r="F226">
        <f>IF(E226="","",E226/4)</f>
        <v/>
      </c>
      <c r="G226" s="2">
        <f>IF(E226="","",IF(COUNTA($E$2:$E$300)&lt;=1,0,PERCENTRANK.INC($E$2:$E$300,E226)))</f>
        <v/>
      </c>
      <c r="H226" s="2">
        <f>IF(G226="","",1-G226)</f>
        <v/>
      </c>
      <c r="I226" s="2">
        <f>Input_Data!I226</f>
        <v/>
      </c>
      <c r="J226" s="2">
        <f>IF(I226="","",IF(COUNTA($I$2:$I$300)&lt;=1,0,PERCENTRANK.INC($I$2:$I$300,I226)))</f>
        <v/>
      </c>
      <c r="K226">
        <f>Input_Data!J226</f>
        <v/>
      </c>
      <c r="L226">
        <f>Input_Data!K226</f>
        <v/>
      </c>
      <c r="M226">
        <f>Input_Data!L226</f>
        <v/>
      </c>
      <c r="N226">
        <f>IF(K226="","",K226-L226)</f>
        <v/>
      </c>
      <c r="O226">
        <f>IF(A226="","",IF(ABS(M226-N226)&lt;=1,"OK","CHECK"))</f>
        <v/>
      </c>
      <c r="P226">
        <f>IF(M226="","",IF(F226=0,99,M226/F226))</f>
        <v/>
      </c>
      <c r="Q226" s="2">
        <f>IF(P226="","",IF(COUNTA($P$2:$P$300)&lt;=1,0,PERCENTRANK.INC($P$2:$P$300,P226)))</f>
        <v/>
      </c>
      <c r="R226" s="2">
        <f>IF(A226="","",0.45*H226+0.35*Q226+0.20*J226)</f>
        <v/>
      </c>
      <c r="S226">
        <f>IF(G226="","",IF(G226&lt;=0.33,"Low Movement",IF(G226&lt;=0.66,"Medium Movement","High Movement")))</f>
        <v/>
      </c>
      <c r="T226">
        <f>IF(R226="","",IF(R226&gt;=0.67,"High Value Bundle",IF(R226&gt;=0.34,"Medium Value Bundle","Low Value Bundle")))</f>
        <v/>
      </c>
      <c r="U226">
        <f>IF(A226="","",IF(AND(G226&gt;=0.70,J226&gt;=0.70,M226&gt;0),"Yes","No"))</f>
        <v/>
      </c>
      <c r="V226">
        <f>IF(A226="","",IF(AND(S226="Low Movement",M226&gt;0,P226&gt;=2),"Yes","No"))</f>
        <v/>
      </c>
      <c r="W226" s="2">
        <f>IF(T226="","",MIN(0.12,IF(T226="High Value Bundle",0.05,IF(T226="Medium Value Bundle",0.07,0.10))+IF(P226&gt;=8,0.02,0)))</f>
        <v/>
      </c>
      <c r="X226">
        <f>IF(U226="Yes",C226&amp;"|anchor","")</f>
        <v/>
      </c>
      <c r="Y226">
        <f>IF(U226="Yes",B226,"")</f>
        <v/>
      </c>
    </row>
    <row r="227">
      <c r="A227">
        <f>Input_Data!C227</f>
        <v/>
      </c>
      <c r="B227">
        <f>Input_Data!A227</f>
        <v/>
      </c>
      <c r="C227">
        <f>Input_Data!B227</f>
        <v/>
      </c>
      <c r="D227">
        <f>Input_Data!D227</f>
        <v/>
      </c>
      <c r="E227">
        <f>IF(A227="","",SUM(Input_Data!E227:H227))</f>
        <v/>
      </c>
      <c r="F227">
        <f>IF(E227="","",E227/4)</f>
        <v/>
      </c>
      <c r="G227" s="2">
        <f>IF(E227="","",IF(COUNTA($E$2:$E$300)&lt;=1,0,PERCENTRANK.INC($E$2:$E$300,E227)))</f>
        <v/>
      </c>
      <c r="H227" s="2">
        <f>IF(G227="","",1-G227)</f>
        <v/>
      </c>
      <c r="I227" s="2">
        <f>Input_Data!I227</f>
        <v/>
      </c>
      <c r="J227" s="2">
        <f>IF(I227="","",IF(COUNTA($I$2:$I$300)&lt;=1,0,PERCENTRANK.INC($I$2:$I$300,I227)))</f>
        <v/>
      </c>
      <c r="K227">
        <f>Input_Data!J227</f>
        <v/>
      </c>
      <c r="L227">
        <f>Input_Data!K227</f>
        <v/>
      </c>
      <c r="M227">
        <f>Input_Data!L227</f>
        <v/>
      </c>
      <c r="N227">
        <f>IF(K227="","",K227-L227)</f>
        <v/>
      </c>
      <c r="O227">
        <f>IF(A227="","",IF(ABS(M227-N227)&lt;=1,"OK","CHECK"))</f>
        <v/>
      </c>
      <c r="P227">
        <f>IF(M227="","",IF(F227=0,99,M227/F227))</f>
        <v/>
      </c>
      <c r="Q227" s="2">
        <f>IF(P227="","",IF(COUNTA($P$2:$P$300)&lt;=1,0,PERCENTRANK.INC($P$2:$P$300,P227)))</f>
        <v/>
      </c>
      <c r="R227" s="2">
        <f>IF(A227="","",0.45*H227+0.35*Q227+0.20*J227)</f>
        <v/>
      </c>
      <c r="S227">
        <f>IF(G227="","",IF(G227&lt;=0.33,"Low Movement",IF(G227&lt;=0.66,"Medium Movement","High Movement")))</f>
        <v/>
      </c>
      <c r="T227">
        <f>IF(R227="","",IF(R227&gt;=0.67,"High Value Bundle",IF(R227&gt;=0.34,"Medium Value Bundle","Low Value Bundle")))</f>
        <v/>
      </c>
      <c r="U227">
        <f>IF(A227="","",IF(AND(G227&gt;=0.70,J227&gt;=0.70,M227&gt;0),"Yes","No"))</f>
        <v/>
      </c>
      <c r="V227">
        <f>IF(A227="","",IF(AND(S227="Low Movement",M227&gt;0,P227&gt;=2),"Yes","No"))</f>
        <v/>
      </c>
      <c r="W227" s="2">
        <f>IF(T227="","",MIN(0.12,IF(T227="High Value Bundle",0.05,IF(T227="Medium Value Bundle",0.07,0.10))+IF(P227&gt;=8,0.02,0)))</f>
        <v/>
      </c>
      <c r="X227">
        <f>IF(U227="Yes",C227&amp;"|anchor","")</f>
        <v/>
      </c>
      <c r="Y227">
        <f>IF(U227="Yes",B227,"")</f>
        <v/>
      </c>
    </row>
    <row r="228">
      <c r="A228">
        <f>Input_Data!C228</f>
        <v/>
      </c>
      <c r="B228">
        <f>Input_Data!A228</f>
        <v/>
      </c>
      <c r="C228">
        <f>Input_Data!B228</f>
        <v/>
      </c>
      <c r="D228">
        <f>Input_Data!D228</f>
        <v/>
      </c>
      <c r="E228">
        <f>IF(A228="","",SUM(Input_Data!E228:H228))</f>
        <v/>
      </c>
      <c r="F228">
        <f>IF(E228="","",E228/4)</f>
        <v/>
      </c>
      <c r="G228" s="2">
        <f>IF(E228="","",IF(COUNTA($E$2:$E$300)&lt;=1,0,PERCENTRANK.INC($E$2:$E$300,E228)))</f>
        <v/>
      </c>
      <c r="H228" s="2">
        <f>IF(G228="","",1-G228)</f>
        <v/>
      </c>
      <c r="I228" s="2">
        <f>Input_Data!I228</f>
        <v/>
      </c>
      <c r="J228" s="2">
        <f>IF(I228="","",IF(COUNTA($I$2:$I$300)&lt;=1,0,PERCENTRANK.INC($I$2:$I$300,I228)))</f>
        <v/>
      </c>
      <c r="K228">
        <f>Input_Data!J228</f>
        <v/>
      </c>
      <c r="L228">
        <f>Input_Data!K228</f>
        <v/>
      </c>
      <c r="M228">
        <f>Input_Data!L228</f>
        <v/>
      </c>
      <c r="N228">
        <f>IF(K228="","",K228-L228)</f>
        <v/>
      </c>
      <c r="O228">
        <f>IF(A228="","",IF(ABS(M228-N228)&lt;=1,"OK","CHECK"))</f>
        <v/>
      </c>
      <c r="P228">
        <f>IF(M228="","",IF(F228=0,99,M228/F228))</f>
        <v/>
      </c>
      <c r="Q228" s="2">
        <f>IF(P228="","",IF(COUNTA($P$2:$P$300)&lt;=1,0,PERCENTRANK.INC($P$2:$P$300,P228)))</f>
        <v/>
      </c>
      <c r="R228" s="2">
        <f>IF(A228="","",0.45*H228+0.35*Q228+0.20*J228)</f>
        <v/>
      </c>
      <c r="S228">
        <f>IF(G228="","",IF(G228&lt;=0.33,"Low Movement",IF(G228&lt;=0.66,"Medium Movement","High Movement")))</f>
        <v/>
      </c>
      <c r="T228">
        <f>IF(R228="","",IF(R228&gt;=0.67,"High Value Bundle",IF(R228&gt;=0.34,"Medium Value Bundle","Low Value Bundle")))</f>
        <v/>
      </c>
      <c r="U228">
        <f>IF(A228="","",IF(AND(G228&gt;=0.70,J228&gt;=0.70,M228&gt;0),"Yes","No"))</f>
        <v/>
      </c>
      <c r="V228">
        <f>IF(A228="","",IF(AND(S228="Low Movement",M228&gt;0,P228&gt;=2),"Yes","No"))</f>
        <v/>
      </c>
      <c r="W228" s="2">
        <f>IF(T228="","",MIN(0.12,IF(T228="High Value Bundle",0.05,IF(T228="Medium Value Bundle",0.07,0.10))+IF(P228&gt;=8,0.02,0)))</f>
        <v/>
      </c>
      <c r="X228">
        <f>IF(U228="Yes",C228&amp;"|anchor","")</f>
        <v/>
      </c>
      <c r="Y228">
        <f>IF(U228="Yes",B228,"")</f>
        <v/>
      </c>
    </row>
    <row r="229">
      <c r="A229">
        <f>Input_Data!C229</f>
        <v/>
      </c>
      <c r="B229">
        <f>Input_Data!A229</f>
        <v/>
      </c>
      <c r="C229">
        <f>Input_Data!B229</f>
        <v/>
      </c>
      <c r="D229">
        <f>Input_Data!D229</f>
        <v/>
      </c>
      <c r="E229">
        <f>IF(A229="","",SUM(Input_Data!E229:H229))</f>
        <v/>
      </c>
      <c r="F229">
        <f>IF(E229="","",E229/4)</f>
        <v/>
      </c>
      <c r="G229" s="2">
        <f>IF(E229="","",IF(COUNTA($E$2:$E$300)&lt;=1,0,PERCENTRANK.INC($E$2:$E$300,E229)))</f>
        <v/>
      </c>
      <c r="H229" s="2">
        <f>IF(G229="","",1-G229)</f>
        <v/>
      </c>
      <c r="I229" s="2">
        <f>Input_Data!I229</f>
        <v/>
      </c>
      <c r="J229" s="2">
        <f>IF(I229="","",IF(COUNTA($I$2:$I$300)&lt;=1,0,PERCENTRANK.INC($I$2:$I$300,I229)))</f>
        <v/>
      </c>
      <c r="K229">
        <f>Input_Data!J229</f>
        <v/>
      </c>
      <c r="L229">
        <f>Input_Data!K229</f>
        <v/>
      </c>
      <c r="M229">
        <f>Input_Data!L229</f>
        <v/>
      </c>
      <c r="N229">
        <f>IF(K229="","",K229-L229)</f>
        <v/>
      </c>
      <c r="O229">
        <f>IF(A229="","",IF(ABS(M229-N229)&lt;=1,"OK","CHECK"))</f>
        <v/>
      </c>
      <c r="P229">
        <f>IF(M229="","",IF(F229=0,99,M229/F229))</f>
        <v/>
      </c>
      <c r="Q229" s="2">
        <f>IF(P229="","",IF(COUNTA($P$2:$P$300)&lt;=1,0,PERCENTRANK.INC($P$2:$P$300,P229)))</f>
        <v/>
      </c>
      <c r="R229" s="2">
        <f>IF(A229="","",0.45*H229+0.35*Q229+0.20*J229)</f>
        <v/>
      </c>
      <c r="S229">
        <f>IF(G229="","",IF(G229&lt;=0.33,"Low Movement",IF(G229&lt;=0.66,"Medium Movement","High Movement")))</f>
        <v/>
      </c>
      <c r="T229">
        <f>IF(R229="","",IF(R229&gt;=0.67,"High Value Bundle",IF(R229&gt;=0.34,"Medium Value Bundle","Low Value Bundle")))</f>
        <v/>
      </c>
      <c r="U229">
        <f>IF(A229="","",IF(AND(G229&gt;=0.70,J229&gt;=0.70,M229&gt;0),"Yes","No"))</f>
        <v/>
      </c>
      <c r="V229">
        <f>IF(A229="","",IF(AND(S229="Low Movement",M229&gt;0,P229&gt;=2),"Yes","No"))</f>
        <v/>
      </c>
      <c r="W229" s="2">
        <f>IF(T229="","",MIN(0.12,IF(T229="High Value Bundle",0.05,IF(T229="Medium Value Bundle",0.07,0.10))+IF(P229&gt;=8,0.02,0)))</f>
        <v/>
      </c>
      <c r="X229">
        <f>IF(U229="Yes",C229&amp;"|anchor","")</f>
        <v/>
      </c>
      <c r="Y229">
        <f>IF(U229="Yes",B229,"")</f>
        <v/>
      </c>
    </row>
    <row r="230">
      <c r="A230">
        <f>Input_Data!C230</f>
        <v/>
      </c>
      <c r="B230">
        <f>Input_Data!A230</f>
        <v/>
      </c>
      <c r="C230">
        <f>Input_Data!B230</f>
        <v/>
      </c>
      <c r="D230">
        <f>Input_Data!D230</f>
        <v/>
      </c>
      <c r="E230">
        <f>IF(A230="","",SUM(Input_Data!E230:H230))</f>
        <v/>
      </c>
      <c r="F230">
        <f>IF(E230="","",E230/4)</f>
        <v/>
      </c>
      <c r="G230" s="2">
        <f>IF(E230="","",IF(COUNTA($E$2:$E$300)&lt;=1,0,PERCENTRANK.INC($E$2:$E$300,E230)))</f>
        <v/>
      </c>
      <c r="H230" s="2">
        <f>IF(G230="","",1-G230)</f>
        <v/>
      </c>
      <c r="I230" s="2">
        <f>Input_Data!I230</f>
        <v/>
      </c>
      <c r="J230" s="2">
        <f>IF(I230="","",IF(COUNTA($I$2:$I$300)&lt;=1,0,PERCENTRANK.INC($I$2:$I$300,I230)))</f>
        <v/>
      </c>
      <c r="K230">
        <f>Input_Data!J230</f>
        <v/>
      </c>
      <c r="L230">
        <f>Input_Data!K230</f>
        <v/>
      </c>
      <c r="M230">
        <f>Input_Data!L230</f>
        <v/>
      </c>
      <c r="N230">
        <f>IF(K230="","",K230-L230)</f>
        <v/>
      </c>
      <c r="O230">
        <f>IF(A230="","",IF(ABS(M230-N230)&lt;=1,"OK","CHECK"))</f>
        <v/>
      </c>
      <c r="P230">
        <f>IF(M230="","",IF(F230=0,99,M230/F230))</f>
        <v/>
      </c>
      <c r="Q230" s="2">
        <f>IF(P230="","",IF(COUNTA($P$2:$P$300)&lt;=1,0,PERCENTRANK.INC($P$2:$P$300,P230)))</f>
        <v/>
      </c>
      <c r="R230" s="2">
        <f>IF(A230="","",0.45*H230+0.35*Q230+0.20*J230)</f>
        <v/>
      </c>
      <c r="S230">
        <f>IF(G230="","",IF(G230&lt;=0.33,"Low Movement",IF(G230&lt;=0.66,"Medium Movement","High Movement")))</f>
        <v/>
      </c>
      <c r="T230">
        <f>IF(R230="","",IF(R230&gt;=0.67,"High Value Bundle",IF(R230&gt;=0.34,"Medium Value Bundle","Low Value Bundle")))</f>
        <v/>
      </c>
      <c r="U230">
        <f>IF(A230="","",IF(AND(G230&gt;=0.70,J230&gt;=0.70,M230&gt;0),"Yes","No"))</f>
        <v/>
      </c>
      <c r="V230">
        <f>IF(A230="","",IF(AND(S230="Low Movement",M230&gt;0,P230&gt;=2),"Yes","No"))</f>
        <v/>
      </c>
      <c r="W230" s="2">
        <f>IF(T230="","",MIN(0.12,IF(T230="High Value Bundle",0.05,IF(T230="Medium Value Bundle",0.07,0.10))+IF(P230&gt;=8,0.02,0)))</f>
        <v/>
      </c>
      <c r="X230">
        <f>IF(U230="Yes",C230&amp;"|anchor","")</f>
        <v/>
      </c>
      <c r="Y230">
        <f>IF(U230="Yes",B230,"")</f>
        <v/>
      </c>
    </row>
    <row r="231">
      <c r="A231">
        <f>Input_Data!C231</f>
        <v/>
      </c>
      <c r="B231">
        <f>Input_Data!A231</f>
        <v/>
      </c>
      <c r="C231">
        <f>Input_Data!B231</f>
        <v/>
      </c>
      <c r="D231">
        <f>Input_Data!D231</f>
        <v/>
      </c>
      <c r="E231">
        <f>IF(A231="","",SUM(Input_Data!E231:H231))</f>
        <v/>
      </c>
      <c r="F231">
        <f>IF(E231="","",E231/4)</f>
        <v/>
      </c>
      <c r="G231" s="2">
        <f>IF(E231="","",IF(COUNTA($E$2:$E$300)&lt;=1,0,PERCENTRANK.INC($E$2:$E$300,E231)))</f>
        <v/>
      </c>
      <c r="H231" s="2">
        <f>IF(G231="","",1-G231)</f>
        <v/>
      </c>
      <c r="I231" s="2">
        <f>Input_Data!I231</f>
        <v/>
      </c>
      <c r="J231" s="2">
        <f>IF(I231="","",IF(COUNTA($I$2:$I$300)&lt;=1,0,PERCENTRANK.INC($I$2:$I$300,I231)))</f>
        <v/>
      </c>
      <c r="K231">
        <f>Input_Data!J231</f>
        <v/>
      </c>
      <c r="L231">
        <f>Input_Data!K231</f>
        <v/>
      </c>
      <c r="M231">
        <f>Input_Data!L231</f>
        <v/>
      </c>
      <c r="N231">
        <f>IF(K231="","",K231-L231)</f>
        <v/>
      </c>
      <c r="O231">
        <f>IF(A231="","",IF(ABS(M231-N231)&lt;=1,"OK","CHECK"))</f>
        <v/>
      </c>
      <c r="P231">
        <f>IF(M231="","",IF(F231=0,99,M231/F231))</f>
        <v/>
      </c>
      <c r="Q231" s="2">
        <f>IF(P231="","",IF(COUNTA($P$2:$P$300)&lt;=1,0,PERCENTRANK.INC($P$2:$P$300,P231)))</f>
        <v/>
      </c>
      <c r="R231" s="2">
        <f>IF(A231="","",0.45*H231+0.35*Q231+0.20*J231)</f>
        <v/>
      </c>
      <c r="S231">
        <f>IF(G231="","",IF(G231&lt;=0.33,"Low Movement",IF(G231&lt;=0.66,"Medium Movement","High Movement")))</f>
        <v/>
      </c>
      <c r="T231">
        <f>IF(R231="","",IF(R231&gt;=0.67,"High Value Bundle",IF(R231&gt;=0.34,"Medium Value Bundle","Low Value Bundle")))</f>
        <v/>
      </c>
      <c r="U231">
        <f>IF(A231="","",IF(AND(G231&gt;=0.70,J231&gt;=0.70,M231&gt;0),"Yes","No"))</f>
        <v/>
      </c>
      <c r="V231">
        <f>IF(A231="","",IF(AND(S231="Low Movement",M231&gt;0,P231&gt;=2),"Yes","No"))</f>
        <v/>
      </c>
      <c r="W231" s="2">
        <f>IF(T231="","",MIN(0.12,IF(T231="High Value Bundle",0.05,IF(T231="Medium Value Bundle",0.07,0.10))+IF(P231&gt;=8,0.02,0)))</f>
        <v/>
      </c>
      <c r="X231">
        <f>IF(U231="Yes",C231&amp;"|anchor","")</f>
        <v/>
      </c>
      <c r="Y231">
        <f>IF(U231="Yes",B231,"")</f>
        <v/>
      </c>
    </row>
    <row r="232">
      <c r="A232">
        <f>Input_Data!C232</f>
        <v/>
      </c>
      <c r="B232">
        <f>Input_Data!A232</f>
        <v/>
      </c>
      <c r="C232">
        <f>Input_Data!B232</f>
        <v/>
      </c>
      <c r="D232">
        <f>Input_Data!D232</f>
        <v/>
      </c>
      <c r="E232">
        <f>IF(A232="","",SUM(Input_Data!E232:H232))</f>
        <v/>
      </c>
      <c r="F232">
        <f>IF(E232="","",E232/4)</f>
        <v/>
      </c>
      <c r="G232" s="2">
        <f>IF(E232="","",IF(COUNTA($E$2:$E$300)&lt;=1,0,PERCENTRANK.INC($E$2:$E$300,E232)))</f>
        <v/>
      </c>
      <c r="H232" s="2">
        <f>IF(G232="","",1-G232)</f>
        <v/>
      </c>
      <c r="I232" s="2">
        <f>Input_Data!I232</f>
        <v/>
      </c>
      <c r="J232" s="2">
        <f>IF(I232="","",IF(COUNTA($I$2:$I$300)&lt;=1,0,PERCENTRANK.INC($I$2:$I$300,I232)))</f>
        <v/>
      </c>
      <c r="K232">
        <f>Input_Data!J232</f>
        <v/>
      </c>
      <c r="L232">
        <f>Input_Data!K232</f>
        <v/>
      </c>
      <c r="M232">
        <f>Input_Data!L232</f>
        <v/>
      </c>
      <c r="N232">
        <f>IF(K232="","",K232-L232)</f>
        <v/>
      </c>
      <c r="O232">
        <f>IF(A232="","",IF(ABS(M232-N232)&lt;=1,"OK","CHECK"))</f>
        <v/>
      </c>
      <c r="P232">
        <f>IF(M232="","",IF(F232=0,99,M232/F232))</f>
        <v/>
      </c>
      <c r="Q232" s="2">
        <f>IF(P232="","",IF(COUNTA($P$2:$P$300)&lt;=1,0,PERCENTRANK.INC($P$2:$P$300,P232)))</f>
        <v/>
      </c>
      <c r="R232" s="2">
        <f>IF(A232="","",0.45*H232+0.35*Q232+0.20*J232)</f>
        <v/>
      </c>
      <c r="S232">
        <f>IF(G232="","",IF(G232&lt;=0.33,"Low Movement",IF(G232&lt;=0.66,"Medium Movement","High Movement")))</f>
        <v/>
      </c>
      <c r="T232">
        <f>IF(R232="","",IF(R232&gt;=0.67,"High Value Bundle",IF(R232&gt;=0.34,"Medium Value Bundle","Low Value Bundle")))</f>
        <v/>
      </c>
      <c r="U232">
        <f>IF(A232="","",IF(AND(G232&gt;=0.70,J232&gt;=0.70,M232&gt;0),"Yes","No"))</f>
        <v/>
      </c>
      <c r="V232">
        <f>IF(A232="","",IF(AND(S232="Low Movement",M232&gt;0,P232&gt;=2),"Yes","No"))</f>
        <v/>
      </c>
      <c r="W232" s="2">
        <f>IF(T232="","",MIN(0.12,IF(T232="High Value Bundle",0.05,IF(T232="Medium Value Bundle",0.07,0.10))+IF(P232&gt;=8,0.02,0)))</f>
        <v/>
      </c>
      <c r="X232">
        <f>IF(U232="Yes",C232&amp;"|anchor","")</f>
        <v/>
      </c>
      <c r="Y232">
        <f>IF(U232="Yes",B232,"")</f>
        <v/>
      </c>
    </row>
    <row r="233">
      <c r="A233">
        <f>Input_Data!C233</f>
        <v/>
      </c>
      <c r="B233">
        <f>Input_Data!A233</f>
        <v/>
      </c>
      <c r="C233">
        <f>Input_Data!B233</f>
        <v/>
      </c>
      <c r="D233">
        <f>Input_Data!D233</f>
        <v/>
      </c>
      <c r="E233">
        <f>IF(A233="","",SUM(Input_Data!E233:H233))</f>
        <v/>
      </c>
      <c r="F233">
        <f>IF(E233="","",E233/4)</f>
        <v/>
      </c>
      <c r="G233" s="2">
        <f>IF(E233="","",IF(COUNTA($E$2:$E$300)&lt;=1,0,PERCENTRANK.INC($E$2:$E$300,E233)))</f>
        <v/>
      </c>
      <c r="H233" s="2">
        <f>IF(G233="","",1-G233)</f>
        <v/>
      </c>
      <c r="I233" s="2">
        <f>Input_Data!I233</f>
        <v/>
      </c>
      <c r="J233" s="2">
        <f>IF(I233="","",IF(COUNTA($I$2:$I$300)&lt;=1,0,PERCENTRANK.INC($I$2:$I$300,I233)))</f>
        <v/>
      </c>
      <c r="K233">
        <f>Input_Data!J233</f>
        <v/>
      </c>
      <c r="L233">
        <f>Input_Data!K233</f>
        <v/>
      </c>
      <c r="M233">
        <f>Input_Data!L233</f>
        <v/>
      </c>
      <c r="N233">
        <f>IF(K233="","",K233-L233)</f>
        <v/>
      </c>
      <c r="O233">
        <f>IF(A233="","",IF(ABS(M233-N233)&lt;=1,"OK","CHECK"))</f>
        <v/>
      </c>
      <c r="P233">
        <f>IF(M233="","",IF(F233=0,99,M233/F233))</f>
        <v/>
      </c>
      <c r="Q233" s="2">
        <f>IF(P233="","",IF(COUNTA($P$2:$P$300)&lt;=1,0,PERCENTRANK.INC($P$2:$P$300,P233)))</f>
        <v/>
      </c>
      <c r="R233" s="2">
        <f>IF(A233="","",0.45*H233+0.35*Q233+0.20*J233)</f>
        <v/>
      </c>
      <c r="S233">
        <f>IF(G233="","",IF(G233&lt;=0.33,"Low Movement",IF(G233&lt;=0.66,"Medium Movement","High Movement")))</f>
        <v/>
      </c>
      <c r="T233">
        <f>IF(R233="","",IF(R233&gt;=0.67,"High Value Bundle",IF(R233&gt;=0.34,"Medium Value Bundle","Low Value Bundle")))</f>
        <v/>
      </c>
      <c r="U233">
        <f>IF(A233="","",IF(AND(G233&gt;=0.70,J233&gt;=0.70,M233&gt;0),"Yes","No"))</f>
        <v/>
      </c>
      <c r="V233">
        <f>IF(A233="","",IF(AND(S233="Low Movement",M233&gt;0,P233&gt;=2),"Yes","No"))</f>
        <v/>
      </c>
      <c r="W233" s="2">
        <f>IF(T233="","",MIN(0.12,IF(T233="High Value Bundle",0.05,IF(T233="Medium Value Bundle",0.07,0.10))+IF(P233&gt;=8,0.02,0)))</f>
        <v/>
      </c>
      <c r="X233">
        <f>IF(U233="Yes",C233&amp;"|anchor","")</f>
        <v/>
      </c>
      <c r="Y233">
        <f>IF(U233="Yes",B233,"")</f>
        <v/>
      </c>
    </row>
    <row r="234">
      <c r="A234">
        <f>Input_Data!C234</f>
        <v/>
      </c>
      <c r="B234">
        <f>Input_Data!A234</f>
        <v/>
      </c>
      <c r="C234">
        <f>Input_Data!B234</f>
        <v/>
      </c>
      <c r="D234">
        <f>Input_Data!D234</f>
        <v/>
      </c>
      <c r="E234">
        <f>IF(A234="","",SUM(Input_Data!E234:H234))</f>
        <v/>
      </c>
      <c r="F234">
        <f>IF(E234="","",E234/4)</f>
        <v/>
      </c>
      <c r="G234" s="2">
        <f>IF(E234="","",IF(COUNTA($E$2:$E$300)&lt;=1,0,PERCENTRANK.INC($E$2:$E$300,E234)))</f>
        <v/>
      </c>
      <c r="H234" s="2">
        <f>IF(G234="","",1-G234)</f>
        <v/>
      </c>
      <c r="I234" s="2">
        <f>Input_Data!I234</f>
        <v/>
      </c>
      <c r="J234" s="2">
        <f>IF(I234="","",IF(COUNTA($I$2:$I$300)&lt;=1,0,PERCENTRANK.INC($I$2:$I$300,I234)))</f>
        <v/>
      </c>
      <c r="K234">
        <f>Input_Data!J234</f>
        <v/>
      </c>
      <c r="L234">
        <f>Input_Data!K234</f>
        <v/>
      </c>
      <c r="M234">
        <f>Input_Data!L234</f>
        <v/>
      </c>
      <c r="N234">
        <f>IF(K234="","",K234-L234)</f>
        <v/>
      </c>
      <c r="O234">
        <f>IF(A234="","",IF(ABS(M234-N234)&lt;=1,"OK","CHECK"))</f>
        <v/>
      </c>
      <c r="P234">
        <f>IF(M234="","",IF(F234=0,99,M234/F234))</f>
        <v/>
      </c>
      <c r="Q234" s="2">
        <f>IF(P234="","",IF(COUNTA($P$2:$P$300)&lt;=1,0,PERCENTRANK.INC($P$2:$P$300,P234)))</f>
        <v/>
      </c>
      <c r="R234" s="2">
        <f>IF(A234="","",0.45*H234+0.35*Q234+0.20*J234)</f>
        <v/>
      </c>
      <c r="S234">
        <f>IF(G234="","",IF(G234&lt;=0.33,"Low Movement",IF(G234&lt;=0.66,"Medium Movement","High Movement")))</f>
        <v/>
      </c>
      <c r="T234">
        <f>IF(R234="","",IF(R234&gt;=0.67,"High Value Bundle",IF(R234&gt;=0.34,"Medium Value Bundle","Low Value Bundle")))</f>
        <v/>
      </c>
      <c r="U234">
        <f>IF(A234="","",IF(AND(G234&gt;=0.70,J234&gt;=0.70,M234&gt;0),"Yes","No"))</f>
        <v/>
      </c>
      <c r="V234">
        <f>IF(A234="","",IF(AND(S234="Low Movement",M234&gt;0,P234&gt;=2),"Yes","No"))</f>
        <v/>
      </c>
      <c r="W234" s="2">
        <f>IF(T234="","",MIN(0.12,IF(T234="High Value Bundle",0.05,IF(T234="Medium Value Bundle",0.07,0.10))+IF(P234&gt;=8,0.02,0)))</f>
        <v/>
      </c>
      <c r="X234">
        <f>IF(U234="Yes",C234&amp;"|anchor","")</f>
        <v/>
      </c>
      <c r="Y234">
        <f>IF(U234="Yes",B234,"")</f>
        <v/>
      </c>
    </row>
    <row r="235">
      <c r="A235">
        <f>Input_Data!C235</f>
        <v/>
      </c>
      <c r="B235">
        <f>Input_Data!A235</f>
        <v/>
      </c>
      <c r="C235">
        <f>Input_Data!B235</f>
        <v/>
      </c>
      <c r="D235">
        <f>Input_Data!D235</f>
        <v/>
      </c>
      <c r="E235">
        <f>IF(A235="","",SUM(Input_Data!E235:H235))</f>
        <v/>
      </c>
      <c r="F235">
        <f>IF(E235="","",E235/4)</f>
        <v/>
      </c>
      <c r="G235" s="2">
        <f>IF(E235="","",IF(COUNTA($E$2:$E$300)&lt;=1,0,PERCENTRANK.INC($E$2:$E$300,E235)))</f>
        <v/>
      </c>
      <c r="H235" s="2">
        <f>IF(G235="","",1-G235)</f>
        <v/>
      </c>
      <c r="I235" s="2">
        <f>Input_Data!I235</f>
        <v/>
      </c>
      <c r="J235" s="2">
        <f>IF(I235="","",IF(COUNTA($I$2:$I$300)&lt;=1,0,PERCENTRANK.INC($I$2:$I$300,I235)))</f>
        <v/>
      </c>
      <c r="K235">
        <f>Input_Data!J235</f>
        <v/>
      </c>
      <c r="L235">
        <f>Input_Data!K235</f>
        <v/>
      </c>
      <c r="M235">
        <f>Input_Data!L235</f>
        <v/>
      </c>
      <c r="N235">
        <f>IF(K235="","",K235-L235)</f>
        <v/>
      </c>
      <c r="O235">
        <f>IF(A235="","",IF(ABS(M235-N235)&lt;=1,"OK","CHECK"))</f>
        <v/>
      </c>
      <c r="P235">
        <f>IF(M235="","",IF(F235=0,99,M235/F235))</f>
        <v/>
      </c>
      <c r="Q235" s="2">
        <f>IF(P235="","",IF(COUNTA($P$2:$P$300)&lt;=1,0,PERCENTRANK.INC($P$2:$P$300,P235)))</f>
        <v/>
      </c>
      <c r="R235" s="2">
        <f>IF(A235="","",0.45*H235+0.35*Q235+0.20*J235)</f>
        <v/>
      </c>
      <c r="S235">
        <f>IF(G235="","",IF(G235&lt;=0.33,"Low Movement",IF(G235&lt;=0.66,"Medium Movement","High Movement")))</f>
        <v/>
      </c>
      <c r="T235">
        <f>IF(R235="","",IF(R235&gt;=0.67,"High Value Bundle",IF(R235&gt;=0.34,"Medium Value Bundle","Low Value Bundle")))</f>
        <v/>
      </c>
      <c r="U235">
        <f>IF(A235="","",IF(AND(G235&gt;=0.70,J235&gt;=0.70,M235&gt;0),"Yes","No"))</f>
        <v/>
      </c>
      <c r="V235">
        <f>IF(A235="","",IF(AND(S235="Low Movement",M235&gt;0,P235&gt;=2),"Yes","No"))</f>
        <v/>
      </c>
      <c r="W235" s="2">
        <f>IF(T235="","",MIN(0.12,IF(T235="High Value Bundle",0.05,IF(T235="Medium Value Bundle",0.07,0.10))+IF(P235&gt;=8,0.02,0)))</f>
        <v/>
      </c>
      <c r="X235">
        <f>IF(U235="Yes",C235&amp;"|anchor","")</f>
        <v/>
      </c>
      <c r="Y235">
        <f>IF(U235="Yes",B235,"")</f>
        <v/>
      </c>
    </row>
    <row r="236">
      <c r="A236">
        <f>Input_Data!C236</f>
        <v/>
      </c>
      <c r="B236">
        <f>Input_Data!A236</f>
        <v/>
      </c>
      <c r="C236">
        <f>Input_Data!B236</f>
        <v/>
      </c>
      <c r="D236">
        <f>Input_Data!D236</f>
        <v/>
      </c>
      <c r="E236">
        <f>IF(A236="","",SUM(Input_Data!E236:H236))</f>
        <v/>
      </c>
      <c r="F236">
        <f>IF(E236="","",E236/4)</f>
        <v/>
      </c>
      <c r="G236" s="2">
        <f>IF(E236="","",IF(COUNTA($E$2:$E$300)&lt;=1,0,PERCENTRANK.INC($E$2:$E$300,E236)))</f>
        <v/>
      </c>
      <c r="H236" s="2">
        <f>IF(G236="","",1-G236)</f>
        <v/>
      </c>
      <c r="I236" s="2">
        <f>Input_Data!I236</f>
        <v/>
      </c>
      <c r="J236" s="2">
        <f>IF(I236="","",IF(COUNTA($I$2:$I$300)&lt;=1,0,PERCENTRANK.INC($I$2:$I$300,I236)))</f>
        <v/>
      </c>
      <c r="K236">
        <f>Input_Data!J236</f>
        <v/>
      </c>
      <c r="L236">
        <f>Input_Data!K236</f>
        <v/>
      </c>
      <c r="M236">
        <f>Input_Data!L236</f>
        <v/>
      </c>
      <c r="N236">
        <f>IF(K236="","",K236-L236)</f>
        <v/>
      </c>
      <c r="O236">
        <f>IF(A236="","",IF(ABS(M236-N236)&lt;=1,"OK","CHECK"))</f>
        <v/>
      </c>
      <c r="P236">
        <f>IF(M236="","",IF(F236=0,99,M236/F236))</f>
        <v/>
      </c>
      <c r="Q236" s="2">
        <f>IF(P236="","",IF(COUNTA($P$2:$P$300)&lt;=1,0,PERCENTRANK.INC($P$2:$P$300,P236)))</f>
        <v/>
      </c>
      <c r="R236" s="2">
        <f>IF(A236="","",0.45*H236+0.35*Q236+0.20*J236)</f>
        <v/>
      </c>
      <c r="S236">
        <f>IF(G236="","",IF(G236&lt;=0.33,"Low Movement",IF(G236&lt;=0.66,"Medium Movement","High Movement")))</f>
        <v/>
      </c>
      <c r="T236">
        <f>IF(R236="","",IF(R236&gt;=0.67,"High Value Bundle",IF(R236&gt;=0.34,"Medium Value Bundle","Low Value Bundle")))</f>
        <v/>
      </c>
      <c r="U236">
        <f>IF(A236="","",IF(AND(G236&gt;=0.70,J236&gt;=0.70,M236&gt;0),"Yes","No"))</f>
        <v/>
      </c>
      <c r="V236">
        <f>IF(A236="","",IF(AND(S236="Low Movement",M236&gt;0,P236&gt;=2),"Yes","No"))</f>
        <v/>
      </c>
      <c r="W236" s="2">
        <f>IF(T236="","",MIN(0.12,IF(T236="High Value Bundle",0.05,IF(T236="Medium Value Bundle",0.07,0.10))+IF(P236&gt;=8,0.02,0)))</f>
        <v/>
      </c>
      <c r="X236">
        <f>IF(U236="Yes",C236&amp;"|anchor","")</f>
        <v/>
      </c>
      <c r="Y236">
        <f>IF(U236="Yes",B236,"")</f>
        <v/>
      </c>
    </row>
    <row r="237">
      <c r="A237">
        <f>Input_Data!C237</f>
        <v/>
      </c>
      <c r="B237">
        <f>Input_Data!A237</f>
        <v/>
      </c>
      <c r="C237">
        <f>Input_Data!B237</f>
        <v/>
      </c>
      <c r="D237">
        <f>Input_Data!D237</f>
        <v/>
      </c>
      <c r="E237">
        <f>IF(A237="","",SUM(Input_Data!E237:H237))</f>
        <v/>
      </c>
      <c r="F237">
        <f>IF(E237="","",E237/4)</f>
        <v/>
      </c>
      <c r="G237" s="2">
        <f>IF(E237="","",IF(COUNTA($E$2:$E$300)&lt;=1,0,PERCENTRANK.INC($E$2:$E$300,E237)))</f>
        <v/>
      </c>
      <c r="H237" s="2">
        <f>IF(G237="","",1-G237)</f>
        <v/>
      </c>
      <c r="I237" s="2">
        <f>Input_Data!I237</f>
        <v/>
      </c>
      <c r="J237" s="2">
        <f>IF(I237="","",IF(COUNTA($I$2:$I$300)&lt;=1,0,PERCENTRANK.INC($I$2:$I$300,I237)))</f>
        <v/>
      </c>
      <c r="K237">
        <f>Input_Data!J237</f>
        <v/>
      </c>
      <c r="L237">
        <f>Input_Data!K237</f>
        <v/>
      </c>
      <c r="M237">
        <f>Input_Data!L237</f>
        <v/>
      </c>
      <c r="N237">
        <f>IF(K237="","",K237-L237)</f>
        <v/>
      </c>
      <c r="O237">
        <f>IF(A237="","",IF(ABS(M237-N237)&lt;=1,"OK","CHECK"))</f>
        <v/>
      </c>
      <c r="P237">
        <f>IF(M237="","",IF(F237=0,99,M237/F237))</f>
        <v/>
      </c>
      <c r="Q237" s="2">
        <f>IF(P237="","",IF(COUNTA($P$2:$P$300)&lt;=1,0,PERCENTRANK.INC($P$2:$P$300,P237)))</f>
        <v/>
      </c>
      <c r="R237" s="2">
        <f>IF(A237="","",0.45*H237+0.35*Q237+0.20*J237)</f>
        <v/>
      </c>
      <c r="S237">
        <f>IF(G237="","",IF(G237&lt;=0.33,"Low Movement",IF(G237&lt;=0.66,"Medium Movement","High Movement")))</f>
        <v/>
      </c>
      <c r="T237">
        <f>IF(R237="","",IF(R237&gt;=0.67,"High Value Bundle",IF(R237&gt;=0.34,"Medium Value Bundle","Low Value Bundle")))</f>
        <v/>
      </c>
      <c r="U237">
        <f>IF(A237="","",IF(AND(G237&gt;=0.70,J237&gt;=0.70,M237&gt;0),"Yes","No"))</f>
        <v/>
      </c>
      <c r="V237">
        <f>IF(A237="","",IF(AND(S237="Low Movement",M237&gt;0,P237&gt;=2),"Yes","No"))</f>
        <v/>
      </c>
      <c r="W237" s="2">
        <f>IF(T237="","",MIN(0.12,IF(T237="High Value Bundle",0.05,IF(T237="Medium Value Bundle",0.07,0.10))+IF(P237&gt;=8,0.02,0)))</f>
        <v/>
      </c>
      <c r="X237">
        <f>IF(U237="Yes",C237&amp;"|anchor","")</f>
        <v/>
      </c>
      <c r="Y237">
        <f>IF(U237="Yes",B237,"")</f>
        <v/>
      </c>
    </row>
    <row r="238">
      <c r="A238">
        <f>Input_Data!C238</f>
        <v/>
      </c>
      <c r="B238">
        <f>Input_Data!A238</f>
        <v/>
      </c>
      <c r="C238">
        <f>Input_Data!B238</f>
        <v/>
      </c>
      <c r="D238">
        <f>Input_Data!D238</f>
        <v/>
      </c>
      <c r="E238">
        <f>IF(A238="","",SUM(Input_Data!E238:H238))</f>
        <v/>
      </c>
      <c r="F238">
        <f>IF(E238="","",E238/4)</f>
        <v/>
      </c>
      <c r="G238" s="2">
        <f>IF(E238="","",IF(COUNTA($E$2:$E$300)&lt;=1,0,PERCENTRANK.INC($E$2:$E$300,E238)))</f>
        <v/>
      </c>
      <c r="H238" s="2">
        <f>IF(G238="","",1-G238)</f>
        <v/>
      </c>
      <c r="I238" s="2">
        <f>Input_Data!I238</f>
        <v/>
      </c>
      <c r="J238" s="2">
        <f>IF(I238="","",IF(COUNTA($I$2:$I$300)&lt;=1,0,PERCENTRANK.INC($I$2:$I$300,I238)))</f>
        <v/>
      </c>
      <c r="K238">
        <f>Input_Data!J238</f>
        <v/>
      </c>
      <c r="L238">
        <f>Input_Data!K238</f>
        <v/>
      </c>
      <c r="M238">
        <f>Input_Data!L238</f>
        <v/>
      </c>
      <c r="N238">
        <f>IF(K238="","",K238-L238)</f>
        <v/>
      </c>
      <c r="O238">
        <f>IF(A238="","",IF(ABS(M238-N238)&lt;=1,"OK","CHECK"))</f>
        <v/>
      </c>
      <c r="P238">
        <f>IF(M238="","",IF(F238=0,99,M238/F238))</f>
        <v/>
      </c>
      <c r="Q238" s="2">
        <f>IF(P238="","",IF(COUNTA($P$2:$P$300)&lt;=1,0,PERCENTRANK.INC($P$2:$P$300,P238)))</f>
        <v/>
      </c>
      <c r="R238" s="2">
        <f>IF(A238="","",0.45*H238+0.35*Q238+0.20*J238)</f>
        <v/>
      </c>
      <c r="S238">
        <f>IF(G238="","",IF(G238&lt;=0.33,"Low Movement",IF(G238&lt;=0.66,"Medium Movement","High Movement")))</f>
        <v/>
      </c>
      <c r="T238">
        <f>IF(R238="","",IF(R238&gt;=0.67,"High Value Bundle",IF(R238&gt;=0.34,"Medium Value Bundle","Low Value Bundle")))</f>
        <v/>
      </c>
      <c r="U238">
        <f>IF(A238="","",IF(AND(G238&gt;=0.70,J238&gt;=0.70,M238&gt;0),"Yes","No"))</f>
        <v/>
      </c>
      <c r="V238">
        <f>IF(A238="","",IF(AND(S238="Low Movement",M238&gt;0,P238&gt;=2),"Yes","No"))</f>
        <v/>
      </c>
      <c r="W238" s="2">
        <f>IF(T238="","",MIN(0.12,IF(T238="High Value Bundle",0.05,IF(T238="Medium Value Bundle",0.07,0.10))+IF(P238&gt;=8,0.02,0)))</f>
        <v/>
      </c>
      <c r="X238">
        <f>IF(U238="Yes",C238&amp;"|anchor","")</f>
        <v/>
      </c>
      <c r="Y238">
        <f>IF(U238="Yes",B238,"")</f>
        <v/>
      </c>
    </row>
    <row r="239">
      <c r="A239">
        <f>Input_Data!C239</f>
        <v/>
      </c>
      <c r="B239">
        <f>Input_Data!A239</f>
        <v/>
      </c>
      <c r="C239">
        <f>Input_Data!B239</f>
        <v/>
      </c>
      <c r="D239">
        <f>Input_Data!D239</f>
        <v/>
      </c>
      <c r="E239">
        <f>IF(A239="","",SUM(Input_Data!E239:H239))</f>
        <v/>
      </c>
      <c r="F239">
        <f>IF(E239="","",E239/4)</f>
        <v/>
      </c>
      <c r="G239" s="2">
        <f>IF(E239="","",IF(COUNTA($E$2:$E$300)&lt;=1,0,PERCENTRANK.INC($E$2:$E$300,E239)))</f>
        <v/>
      </c>
      <c r="H239" s="2">
        <f>IF(G239="","",1-G239)</f>
        <v/>
      </c>
      <c r="I239" s="2">
        <f>Input_Data!I239</f>
        <v/>
      </c>
      <c r="J239" s="2">
        <f>IF(I239="","",IF(COUNTA($I$2:$I$300)&lt;=1,0,PERCENTRANK.INC($I$2:$I$300,I239)))</f>
        <v/>
      </c>
      <c r="K239">
        <f>Input_Data!J239</f>
        <v/>
      </c>
      <c r="L239">
        <f>Input_Data!K239</f>
        <v/>
      </c>
      <c r="M239">
        <f>Input_Data!L239</f>
        <v/>
      </c>
      <c r="N239">
        <f>IF(K239="","",K239-L239)</f>
        <v/>
      </c>
      <c r="O239">
        <f>IF(A239="","",IF(ABS(M239-N239)&lt;=1,"OK","CHECK"))</f>
        <v/>
      </c>
      <c r="P239">
        <f>IF(M239="","",IF(F239=0,99,M239/F239))</f>
        <v/>
      </c>
      <c r="Q239" s="2">
        <f>IF(P239="","",IF(COUNTA($P$2:$P$300)&lt;=1,0,PERCENTRANK.INC($P$2:$P$300,P239)))</f>
        <v/>
      </c>
      <c r="R239" s="2">
        <f>IF(A239="","",0.45*H239+0.35*Q239+0.20*J239)</f>
        <v/>
      </c>
      <c r="S239">
        <f>IF(G239="","",IF(G239&lt;=0.33,"Low Movement",IF(G239&lt;=0.66,"Medium Movement","High Movement")))</f>
        <v/>
      </c>
      <c r="T239">
        <f>IF(R239="","",IF(R239&gt;=0.67,"High Value Bundle",IF(R239&gt;=0.34,"Medium Value Bundle","Low Value Bundle")))</f>
        <v/>
      </c>
      <c r="U239">
        <f>IF(A239="","",IF(AND(G239&gt;=0.70,J239&gt;=0.70,M239&gt;0),"Yes","No"))</f>
        <v/>
      </c>
      <c r="V239">
        <f>IF(A239="","",IF(AND(S239="Low Movement",M239&gt;0,P239&gt;=2),"Yes","No"))</f>
        <v/>
      </c>
      <c r="W239" s="2">
        <f>IF(T239="","",MIN(0.12,IF(T239="High Value Bundle",0.05,IF(T239="Medium Value Bundle",0.07,0.10))+IF(P239&gt;=8,0.02,0)))</f>
        <v/>
      </c>
      <c r="X239">
        <f>IF(U239="Yes",C239&amp;"|anchor","")</f>
        <v/>
      </c>
      <c r="Y239">
        <f>IF(U239="Yes",B239,"")</f>
        <v/>
      </c>
    </row>
    <row r="240">
      <c r="A240">
        <f>Input_Data!C240</f>
        <v/>
      </c>
      <c r="B240">
        <f>Input_Data!A240</f>
        <v/>
      </c>
      <c r="C240">
        <f>Input_Data!B240</f>
        <v/>
      </c>
      <c r="D240">
        <f>Input_Data!D240</f>
        <v/>
      </c>
      <c r="E240">
        <f>IF(A240="","",SUM(Input_Data!E240:H240))</f>
        <v/>
      </c>
      <c r="F240">
        <f>IF(E240="","",E240/4)</f>
        <v/>
      </c>
      <c r="G240" s="2">
        <f>IF(E240="","",IF(COUNTA($E$2:$E$300)&lt;=1,0,PERCENTRANK.INC($E$2:$E$300,E240)))</f>
        <v/>
      </c>
      <c r="H240" s="2">
        <f>IF(G240="","",1-G240)</f>
        <v/>
      </c>
      <c r="I240" s="2">
        <f>Input_Data!I240</f>
        <v/>
      </c>
      <c r="J240" s="2">
        <f>IF(I240="","",IF(COUNTA($I$2:$I$300)&lt;=1,0,PERCENTRANK.INC($I$2:$I$300,I240)))</f>
        <v/>
      </c>
      <c r="K240">
        <f>Input_Data!J240</f>
        <v/>
      </c>
      <c r="L240">
        <f>Input_Data!K240</f>
        <v/>
      </c>
      <c r="M240">
        <f>Input_Data!L240</f>
        <v/>
      </c>
      <c r="N240">
        <f>IF(K240="","",K240-L240)</f>
        <v/>
      </c>
      <c r="O240">
        <f>IF(A240="","",IF(ABS(M240-N240)&lt;=1,"OK","CHECK"))</f>
        <v/>
      </c>
      <c r="P240">
        <f>IF(M240="","",IF(F240=0,99,M240/F240))</f>
        <v/>
      </c>
      <c r="Q240" s="2">
        <f>IF(P240="","",IF(COUNTA($P$2:$P$300)&lt;=1,0,PERCENTRANK.INC($P$2:$P$300,P240)))</f>
        <v/>
      </c>
      <c r="R240" s="2">
        <f>IF(A240="","",0.45*H240+0.35*Q240+0.20*J240)</f>
        <v/>
      </c>
      <c r="S240">
        <f>IF(G240="","",IF(G240&lt;=0.33,"Low Movement",IF(G240&lt;=0.66,"Medium Movement","High Movement")))</f>
        <v/>
      </c>
      <c r="T240">
        <f>IF(R240="","",IF(R240&gt;=0.67,"High Value Bundle",IF(R240&gt;=0.34,"Medium Value Bundle","Low Value Bundle")))</f>
        <v/>
      </c>
      <c r="U240">
        <f>IF(A240="","",IF(AND(G240&gt;=0.70,J240&gt;=0.70,M240&gt;0),"Yes","No"))</f>
        <v/>
      </c>
      <c r="V240">
        <f>IF(A240="","",IF(AND(S240="Low Movement",M240&gt;0,P240&gt;=2),"Yes","No"))</f>
        <v/>
      </c>
      <c r="W240" s="2">
        <f>IF(T240="","",MIN(0.12,IF(T240="High Value Bundle",0.05,IF(T240="Medium Value Bundle",0.07,0.10))+IF(P240&gt;=8,0.02,0)))</f>
        <v/>
      </c>
      <c r="X240">
        <f>IF(U240="Yes",C240&amp;"|anchor","")</f>
        <v/>
      </c>
      <c r="Y240">
        <f>IF(U240="Yes",B240,"")</f>
        <v/>
      </c>
    </row>
    <row r="241">
      <c r="A241">
        <f>Input_Data!C241</f>
        <v/>
      </c>
      <c r="B241">
        <f>Input_Data!A241</f>
        <v/>
      </c>
      <c r="C241">
        <f>Input_Data!B241</f>
        <v/>
      </c>
      <c r="D241">
        <f>Input_Data!D241</f>
        <v/>
      </c>
      <c r="E241">
        <f>IF(A241="","",SUM(Input_Data!E241:H241))</f>
        <v/>
      </c>
      <c r="F241">
        <f>IF(E241="","",E241/4)</f>
        <v/>
      </c>
      <c r="G241" s="2">
        <f>IF(E241="","",IF(COUNTA($E$2:$E$300)&lt;=1,0,PERCENTRANK.INC($E$2:$E$300,E241)))</f>
        <v/>
      </c>
      <c r="H241" s="2">
        <f>IF(G241="","",1-G241)</f>
        <v/>
      </c>
      <c r="I241" s="2">
        <f>Input_Data!I241</f>
        <v/>
      </c>
      <c r="J241" s="2">
        <f>IF(I241="","",IF(COUNTA($I$2:$I$300)&lt;=1,0,PERCENTRANK.INC($I$2:$I$300,I241)))</f>
        <v/>
      </c>
      <c r="K241">
        <f>Input_Data!J241</f>
        <v/>
      </c>
      <c r="L241">
        <f>Input_Data!K241</f>
        <v/>
      </c>
      <c r="M241">
        <f>Input_Data!L241</f>
        <v/>
      </c>
      <c r="N241">
        <f>IF(K241="","",K241-L241)</f>
        <v/>
      </c>
      <c r="O241">
        <f>IF(A241="","",IF(ABS(M241-N241)&lt;=1,"OK","CHECK"))</f>
        <v/>
      </c>
      <c r="P241">
        <f>IF(M241="","",IF(F241=0,99,M241/F241))</f>
        <v/>
      </c>
      <c r="Q241" s="2">
        <f>IF(P241="","",IF(COUNTA($P$2:$P$300)&lt;=1,0,PERCENTRANK.INC($P$2:$P$300,P241)))</f>
        <v/>
      </c>
      <c r="R241" s="2">
        <f>IF(A241="","",0.45*H241+0.35*Q241+0.20*J241)</f>
        <v/>
      </c>
      <c r="S241">
        <f>IF(G241="","",IF(G241&lt;=0.33,"Low Movement",IF(G241&lt;=0.66,"Medium Movement","High Movement")))</f>
        <v/>
      </c>
      <c r="T241">
        <f>IF(R241="","",IF(R241&gt;=0.67,"High Value Bundle",IF(R241&gt;=0.34,"Medium Value Bundle","Low Value Bundle")))</f>
        <v/>
      </c>
      <c r="U241">
        <f>IF(A241="","",IF(AND(G241&gt;=0.70,J241&gt;=0.70,M241&gt;0),"Yes","No"))</f>
        <v/>
      </c>
      <c r="V241">
        <f>IF(A241="","",IF(AND(S241="Low Movement",M241&gt;0,P241&gt;=2),"Yes","No"))</f>
        <v/>
      </c>
      <c r="W241" s="2">
        <f>IF(T241="","",MIN(0.12,IF(T241="High Value Bundle",0.05,IF(T241="Medium Value Bundle",0.07,0.10))+IF(P241&gt;=8,0.02,0)))</f>
        <v/>
      </c>
      <c r="X241">
        <f>IF(U241="Yes",C241&amp;"|anchor","")</f>
        <v/>
      </c>
      <c r="Y241">
        <f>IF(U241="Yes",B241,"")</f>
        <v/>
      </c>
    </row>
    <row r="242">
      <c r="A242">
        <f>Input_Data!C242</f>
        <v/>
      </c>
      <c r="B242">
        <f>Input_Data!A242</f>
        <v/>
      </c>
      <c r="C242">
        <f>Input_Data!B242</f>
        <v/>
      </c>
      <c r="D242">
        <f>Input_Data!D242</f>
        <v/>
      </c>
      <c r="E242">
        <f>IF(A242="","",SUM(Input_Data!E242:H242))</f>
        <v/>
      </c>
      <c r="F242">
        <f>IF(E242="","",E242/4)</f>
        <v/>
      </c>
      <c r="G242" s="2">
        <f>IF(E242="","",IF(COUNTA($E$2:$E$300)&lt;=1,0,PERCENTRANK.INC($E$2:$E$300,E242)))</f>
        <v/>
      </c>
      <c r="H242" s="2">
        <f>IF(G242="","",1-G242)</f>
        <v/>
      </c>
      <c r="I242" s="2">
        <f>Input_Data!I242</f>
        <v/>
      </c>
      <c r="J242" s="2">
        <f>IF(I242="","",IF(COUNTA($I$2:$I$300)&lt;=1,0,PERCENTRANK.INC($I$2:$I$300,I242)))</f>
        <v/>
      </c>
      <c r="K242">
        <f>Input_Data!J242</f>
        <v/>
      </c>
      <c r="L242">
        <f>Input_Data!K242</f>
        <v/>
      </c>
      <c r="M242">
        <f>Input_Data!L242</f>
        <v/>
      </c>
      <c r="N242">
        <f>IF(K242="","",K242-L242)</f>
        <v/>
      </c>
      <c r="O242">
        <f>IF(A242="","",IF(ABS(M242-N242)&lt;=1,"OK","CHECK"))</f>
        <v/>
      </c>
      <c r="P242">
        <f>IF(M242="","",IF(F242=0,99,M242/F242))</f>
        <v/>
      </c>
      <c r="Q242" s="2">
        <f>IF(P242="","",IF(COUNTA($P$2:$P$300)&lt;=1,0,PERCENTRANK.INC($P$2:$P$300,P242)))</f>
        <v/>
      </c>
      <c r="R242" s="2">
        <f>IF(A242="","",0.45*H242+0.35*Q242+0.20*J242)</f>
        <v/>
      </c>
      <c r="S242">
        <f>IF(G242="","",IF(G242&lt;=0.33,"Low Movement",IF(G242&lt;=0.66,"Medium Movement","High Movement")))</f>
        <v/>
      </c>
      <c r="T242">
        <f>IF(R242="","",IF(R242&gt;=0.67,"High Value Bundle",IF(R242&gt;=0.34,"Medium Value Bundle","Low Value Bundle")))</f>
        <v/>
      </c>
      <c r="U242">
        <f>IF(A242="","",IF(AND(G242&gt;=0.70,J242&gt;=0.70,M242&gt;0),"Yes","No"))</f>
        <v/>
      </c>
      <c r="V242">
        <f>IF(A242="","",IF(AND(S242="Low Movement",M242&gt;0,P242&gt;=2),"Yes","No"))</f>
        <v/>
      </c>
      <c r="W242" s="2">
        <f>IF(T242="","",MIN(0.12,IF(T242="High Value Bundle",0.05,IF(T242="Medium Value Bundle",0.07,0.10))+IF(P242&gt;=8,0.02,0)))</f>
        <v/>
      </c>
      <c r="X242">
        <f>IF(U242="Yes",C242&amp;"|anchor","")</f>
        <v/>
      </c>
      <c r="Y242">
        <f>IF(U242="Yes",B242,"")</f>
        <v/>
      </c>
    </row>
    <row r="243">
      <c r="A243">
        <f>Input_Data!C243</f>
        <v/>
      </c>
      <c r="B243">
        <f>Input_Data!A243</f>
        <v/>
      </c>
      <c r="C243">
        <f>Input_Data!B243</f>
        <v/>
      </c>
      <c r="D243">
        <f>Input_Data!D243</f>
        <v/>
      </c>
      <c r="E243">
        <f>IF(A243="","",SUM(Input_Data!E243:H243))</f>
        <v/>
      </c>
      <c r="F243">
        <f>IF(E243="","",E243/4)</f>
        <v/>
      </c>
      <c r="G243" s="2">
        <f>IF(E243="","",IF(COUNTA($E$2:$E$300)&lt;=1,0,PERCENTRANK.INC($E$2:$E$300,E243)))</f>
        <v/>
      </c>
      <c r="H243" s="2">
        <f>IF(G243="","",1-G243)</f>
        <v/>
      </c>
      <c r="I243" s="2">
        <f>Input_Data!I243</f>
        <v/>
      </c>
      <c r="J243" s="2">
        <f>IF(I243="","",IF(COUNTA($I$2:$I$300)&lt;=1,0,PERCENTRANK.INC($I$2:$I$300,I243)))</f>
        <v/>
      </c>
      <c r="K243">
        <f>Input_Data!J243</f>
        <v/>
      </c>
      <c r="L243">
        <f>Input_Data!K243</f>
        <v/>
      </c>
      <c r="M243">
        <f>Input_Data!L243</f>
        <v/>
      </c>
      <c r="N243">
        <f>IF(K243="","",K243-L243)</f>
        <v/>
      </c>
      <c r="O243">
        <f>IF(A243="","",IF(ABS(M243-N243)&lt;=1,"OK","CHECK"))</f>
        <v/>
      </c>
      <c r="P243">
        <f>IF(M243="","",IF(F243=0,99,M243/F243))</f>
        <v/>
      </c>
      <c r="Q243" s="2">
        <f>IF(P243="","",IF(COUNTA($P$2:$P$300)&lt;=1,0,PERCENTRANK.INC($P$2:$P$300,P243)))</f>
        <v/>
      </c>
      <c r="R243" s="2">
        <f>IF(A243="","",0.45*H243+0.35*Q243+0.20*J243)</f>
        <v/>
      </c>
      <c r="S243">
        <f>IF(G243="","",IF(G243&lt;=0.33,"Low Movement",IF(G243&lt;=0.66,"Medium Movement","High Movement")))</f>
        <v/>
      </c>
      <c r="T243">
        <f>IF(R243="","",IF(R243&gt;=0.67,"High Value Bundle",IF(R243&gt;=0.34,"Medium Value Bundle","Low Value Bundle")))</f>
        <v/>
      </c>
      <c r="U243">
        <f>IF(A243="","",IF(AND(G243&gt;=0.70,J243&gt;=0.70,M243&gt;0),"Yes","No"))</f>
        <v/>
      </c>
      <c r="V243">
        <f>IF(A243="","",IF(AND(S243="Low Movement",M243&gt;0,P243&gt;=2),"Yes","No"))</f>
        <v/>
      </c>
      <c r="W243" s="2">
        <f>IF(T243="","",MIN(0.12,IF(T243="High Value Bundle",0.05,IF(T243="Medium Value Bundle",0.07,0.10))+IF(P243&gt;=8,0.02,0)))</f>
        <v/>
      </c>
      <c r="X243">
        <f>IF(U243="Yes",C243&amp;"|anchor","")</f>
        <v/>
      </c>
      <c r="Y243">
        <f>IF(U243="Yes",B243,"")</f>
        <v/>
      </c>
    </row>
    <row r="244">
      <c r="A244">
        <f>Input_Data!C244</f>
        <v/>
      </c>
      <c r="B244">
        <f>Input_Data!A244</f>
        <v/>
      </c>
      <c r="C244">
        <f>Input_Data!B244</f>
        <v/>
      </c>
      <c r="D244">
        <f>Input_Data!D244</f>
        <v/>
      </c>
      <c r="E244">
        <f>IF(A244="","",SUM(Input_Data!E244:H244))</f>
        <v/>
      </c>
      <c r="F244">
        <f>IF(E244="","",E244/4)</f>
        <v/>
      </c>
      <c r="G244" s="2">
        <f>IF(E244="","",IF(COUNTA($E$2:$E$300)&lt;=1,0,PERCENTRANK.INC($E$2:$E$300,E244)))</f>
        <v/>
      </c>
      <c r="H244" s="2">
        <f>IF(G244="","",1-G244)</f>
        <v/>
      </c>
      <c r="I244" s="2">
        <f>Input_Data!I244</f>
        <v/>
      </c>
      <c r="J244" s="2">
        <f>IF(I244="","",IF(COUNTA($I$2:$I$300)&lt;=1,0,PERCENTRANK.INC($I$2:$I$300,I244)))</f>
        <v/>
      </c>
      <c r="K244">
        <f>Input_Data!J244</f>
        <v/>
      </c>
      <c r="L244">
        <f>Input_Data!K244</f>
        <v/>
      </c>
      <c r="M244">
        <f>Input_Data!L244</f>
        <v/>
      </c>
      <c r="N244">
        <f>IF(K244="","",K244-L244)</f>
        <v/>
      </c>
      <c r="O244">
        <f>IF(A244="","",IF(ABS(M244-N244)&lt;=1,"OK","CHECK"))</f>
        <v/>
      </c>
      <c r="P244">
        <f>IF(M244="","",IF(F244=0,99,M244/F244))</f>
        <v/>
      </c>
      <c r="Q244" s="2">
        <f>IF(P244="","",IF(COUNTA($P$2:$P$300)&lt;=1,0,PERCENTRANK.INC($P$2:$P$300,P244)))</f>
        <v/>
      </c>
      <c r="R244" s="2">
        <f>IF(A244="","",0.45*H244+0.35*Q244+0.20*J244)</f>
        <v/>
      </c>
      <c r="S244">
        <f>IF(G244="","",IF(G244&lt;=0.33,"Low Movement",IF(G244&lt;=0.66,"Medium Movement","High Movement")))</f>
        <v/>
      </c>
      <c r="T244">
        <f>IF(R244="","",IF(R244&gt;=0.67,"High Value Bundle",IF(R244&gt;=0.34,"Medium Value Bundle","Low Value Bundle")))</f>
        <v/>
      </c>
      <c r="U244">
        <f>IF(A244="","",IF(AND(G244&gt;=0.70,J244&gt;=0.70,M244&gt;0),"Yes","No"))</f>
        <v/>
      </c>
      <c r="V244">
        <f>IF(A244="","",IF(AND(S244="Low Movement",M244&gt;0,P244&gt;=2),"Yes","No"))</f>
        <v/>
      </c>
      <c r="W244" s="2">
        <f>IF(T244="","",MIN(0.12,IF(T244="High Value Bundle",0.05,IF(T244="Medium Value Bundle",0.07,0.10))+IF(P244&gt;=8,0.02,0)))</f>
        <v/>
      </c>
      <c r="X244">
        <f>IF(U244="Yes",C244&amp;"|anchor","")</f>
        <v/>
      </c>
      <c r="Y244">
        <f>IF(U244="Yes",B244,"")</f>
        <v/>
      </c>
    </row>
    <row r="245">
      <c r="A245">
        <f>Input_Data!C245</f>
        <v/>
      </c>
      <c r="B245">
        <f>Input_Data!A245</f>
        <v/>
      </c>
      <c r="C245">
        <f>Input_Data!B245</f>
        <v/>
      </c>
      <c r="D245">
        <f>Input_Data!D245</f>
        <v/>
      </c>
      <c r="E245">
        <f>IF(A245="","",SUM(Input_Data!E245:H245))</f>
        <v/>
      </c>
      <c r="F245">
        <f>IF(E245="","",E245/4)</f>
        <v/>
      </c>
      <c r="G245" s="2">
        <f>IF(E245="","",IF(COUNTA($E$2:$E$300)&lt;=1,0,PERCENTRANK.INC($E$2:$E$300,E245)))</f>
        <v/>
      </c>
      <c r="H245" s="2">
        <f>IF(G245="","",1-G245)</f>
        <v/>
      </c>
      <c r="I245" s="2">
        <f>Input_Data!I245</f>
        <v/>
      </c>
      <c r="J245" s="2">
        <f>IF(I245="","",IF(COUNTA($I$2:$I$300)&lt;=1,0,PERCENTRANK.INC($I$2:$I$300,I245)))</f>
        <v/>
      </c>
      <c r="K245">
        <f>Input_Data!J245</f>
        <v/>
      </c>
      <c r="L245">
        <f>Input_Data!K245</f>
        <v/>
      </c>
      <c r="M245">
        <f>Input_Data!L245</f>
        <v/>
      </c>
      <c r="N245">
        <f>IF(K245="","",K245-L245)</f>
        <v/>
      </c>
      <c r="O245">
        <f>IF(A245="","",IF(ABS(M245-N245)&lt;=1,"OK","CHECK"))</f>
        <v/>
      </c>
      <c r="P245">
        <f>IF(M245="","",IF(F245=0,99,M245/F245))</f>
        <v/>
      </c>
      <c r="Q245" s="2">
        <f>IF(P245="","",IF(COUNTA($P$2:$P$300)&lt;=1,0,PERCENTRANK.INC($P$2:$P$300,P245)))</f>
        <v/>
      </c>
      <c r="R245" s="2">
        <f>IF(A245="","",0.45*H245+0.35*Q245+0.20*J245)</f>
        <v/>
      </c>
      <c r="S245">
        <f>IF(G245="","",IF(G245&lt;=0.33,"Low Movement",IF(G245&lt;=0.66,"Medium Movement","High Movement")))</f>
        <v/>
      </c>
      <c r="T245">
        <f>IF(R245="","",IF(R245&gt;=0.67,"High Value Bundle",IF(R245&gt;=0.34,"Medium Value Bundle","Low Value Bundle")))</f>
        <v/>
      </c>
      <c r="U245">
        <f>IF(A245="","",IF(AND(G245&gt;=0.70,J245&gt;=0.70,M245&gt;0),"Yes","No"))</f>
        <v/>
      </c>
      <c r="V245">
        <f>IF(A245="","",IF(AND(S245="Low Movement",M245&gt;0,P245&gt;=2),"Yes","No"))</f>
        <v/>
      </c>
      <c r="W245" s="2">
        <f>IF(T245="","",MIN(0.12,IF(T245="High Value Bundle",0.05,IF(T245="Medium Value Bundle",0.07,0.10))+IF(P245&gt;=8,0.02,0)))</f>
        <v/>
      </c>
      <c r="X245">
        <f>IF(U245="Yes",C245&amp;"|anchor","")</f>
        <v/>
      </c>
      <c r="Y245">
        <f>IF(U245="Yes",B245,"")</f>
        <v/>
      </c>
    </row>
    <row r="246">
      <c r="A246">
        <f>Input_Data!C246</f>
        <v/>
      </c>
      <c r="B246">
        <f>Input_Data!A246</f>
        <v/>
      </c>
      <c r="C246">
        <f>Input_Data!B246</f>
        <v/>
      </c>
      <c r="D246">
        <f>Input_Data!D246</f>
        <v/>
      </c>
      <c r="E246">
        <f>IF(A246="","",SUM(Input_Data!E246:H246))</f>
        <v/>
      </c>
      <c r="F246">
        <f>IF(E246="","",E246/4)</f>
        <v/>
      </c>
      <c r="G246" s="2">
        <f>IF(E246="","",IF(COUNTA($E$2:$E$300)&lt;=1,0,PERCENTRANK.INC($E$2:$E$300,E246)))</f>
        <v/>
      </c>
      <c r="H246" s="2">
        <f>IF(G246="","",1-G246)</f>
        <v/>
      </c>
      <c r="I246" s="2">
        <f>Input_Data!I246</f>
        <v/>
      </c>
      <c r="J246" s="2">
        <f>IF(I246="","",IF(COUNTA($I$2:$I$300)&lt;=1,0,PERCENTRANK.INC($I$2:$I$300,I246)))</f>
        <v/>
      </c>
      <c r="K246">
        <f>Input_Data!J246</f>
        <v/>
      </c>
      <c r="L246">
        <f>Input_Data!K246</f>
        <v/>
      </c>
      <c r="M246">
        <f>Input_Data!L246</f>
        <v/>
      </c>
      <c r="N246">
        <f>IF(K246="","",K246-L246)</f>
        <v/>
      </c>
      <c r="O246">
        <f>IF(A246="","",IF(ABS(M246-N246)&lt;=1,"OK","CHECK"))</f>
        <v/>
      </c>
      <c r="P246">
        <f>IF(M246="","",IF(F246=0,99,M246/F246))</f>
        <v/>
      </c>
      <c r="Q246" s="2">
        <f>IF(P246="","",IF(COUNTA($P$2:$P$300)&lt;=1,0,PERCENTRANK.INC($P$2:$P$300,P246)))</f>
        <v/>
      </c>
      <c r="R246" s="2">
        <f>IF(A246="","",0.45*H246+0.35*Q246+0.20*J246)</f>
        <v/>
      </c>
      <c r="S246">
        <f>IF(G246="","",IF(G246&lt;=0.33,"Low Movement",IF(G246&lt;=0.66,"Medium Movement","High Movement")))</f>
        <v/>
      </c>
      <c r="T246">
        <f>IF(R246="","",IF(R246&gt;=0.67,"High Value Bundle",IF(R246&gt;=0.34,"Medium Value Bundle","Low Value Bundle")))</f>
        <v/>
      </c>
      <c r="U246">
        <f>IF(A246="","",IF(AND(G246&gt;=0.70,J246&gt;=0.70,M246&gt;0),"Yes","No"))</f>
        <v/>
      </c>
      <c r="V246">
        <f>IF(A246="","",IF(AND(S246="Low Movement",M246&gt;0,P246&gt;=2),"Yes","No"))</f>
        <v/>
      </c>
      <c r="W246" s="2">
        <f>IF(T246="","",MIN(0.12,IF(T246="High Value Bundle",0.05,IF(T246="Medium Value Bundle",0.07,0.10))+IF(P246&gt;=8,0.02,0)))</f>
        <v/>
      </c>
      <c r="X246">
        <f>IF(U246="Yes",C246&amp;"|anchor","")</f>
        <v/>
      </c>
      <c r="Y246">
        <f>IF(U246="Yes",B246,"")</f>
        <v/>
      </c>
    </row>
    <row r="247">
      <c r="A247">
        <f>Input_Data!C247</f>
        <v/>
      </c>
      <c r="B247">
        <f>Input_Data!A247</f>
        <v/>
      </c>
      <c r="C247">
        <f>Input_Data!B247</f>
        <v/>
      </c>
      <c r="D247">
        <f>Input_Data!D247</f>
        <v/>
      </c>
      <c r="E247">
        <f>IF(A247="","",SUM(Input_Data!E247:H247))</f>
        <v/>
      </c>
      <c r="F247">
        <f>IF(E247="","",E247/4)</f>
        <v/>
      </c>
      <c r="G247" s="2">
        <f>IF(E247="","",IF(COUNTA($E$2:$E$300)&lt;=1,0,PERCENTRANK.INC($E$2:$E$300,E247)))</f>
        <v/>
      </c>
      <c r="H247" s="2">
        <f>IF(G247="","",1-G247)</f>
        <v/>
      </c>
      <c r="I247" s="2">
        <f>Input_Data!I247</f>
        <v/>
      </c>
      <c r="J247" s="2">
        <f>IF(I247="","",IF(COUNTA($I$2:$I$300)&lt;=1,0,PERCENTRANK.INC($I$2:$I$300,I247)))</f>
        <v/>
      </c>
      <c r="K247">
        <f>Input_Data!J247</f>
        <v/>
      </c>
      <c r="L247">
        <f>Input_Data!K247</f>
        <v/>
      </c>
      <c r="M247">
        <f>Input_Data!L247</f>
        <v/>
      </c>
      <c r="N247">
        <f>IF(K247="","",K247-L247)</f>
        <v/>
      </c>
      <c r="O247">
        <f>IF(A247="","",IF(ABS(M247-N247)&lt;=1,"OK","CHECK"))</f>
        <v/>
      </c>
      <c r="P247">
        <f>IF(M247="","",IF(F247=0,99,M247/F247))</f>
        <v/>
      </c>
      <c r="Q247" s="2">
        <f>IF(P247="","",IF(COUNTA($P$2:$P$300)&lt;=1,0,PERCENTRANK.INC($P$2:$P$300,P247)))</f>
        <v/>
      </c>
      <c r="R247" s="2">
        <f>IF(A247="","",0.45*H247+0.35*Q247+0.20*J247)</f>
        <v/>
      </c>
      <c r="S247">
        <f>IF(G247="","",IF(G247&lt;=0.33,"Low Movement",IF(G247&lt;=0.66,"Medium Movement","High Movement")))</f>
        <v/>
      </c>
      <c r="T247">
        <f>IF(R247="","",IF(R247&gt;=0.67,"High Value Bundle",IF(R247&gt;=0.34,"Medium Value Bundle","Low Value Bundle")))</f>
        <v/>
      </c>
      <c r="U247">
        <f>IF(A247="","",IF(AND(G247&gt;=0.70,J247&gt;=0.70,M247&gt;0),"Yes","No"))</f>
        <v/>
      </c>
      <c r="V247">
        <f>IF(A247="","",IF(AND(S247="Low Movement",M247&gt;0,P247&gt;=2),"Yes","No"))</f>
        <v/>
      </c>
      <c r="W247" s="2">
        <f>IF(T247="","",MIN(0.12,IF(T247="High Value Bundle",0.05,IF(T247="Medium Value Bundle",0.07,0.10))+IF(P247&gt;=8,0.02,0)))</f>
        <v/>
      </c>
      <c r="X247">
        <f>IF(U247="Yes",C247&amp;"|anchor","")</f>
        <v/>
      </c>
      <c r="Y247">
        <f>IF(U247="Yes",B247,"")</f>
        <v/>
      </c>
    </row>
    <row r="248">
      <c r="A248">
        <f>Input_Data!C248</f>
        <v/>
      </c>
      <c r="B248">
        <f>Input_Data!A248</f>
        <v/>
      </c>
      <c r="C248">
        <f>Input_Data!B248</f>
        <v/>
      </c>
      <c r="D248">
        <f>Input_Data!D248</f>
        <v/>
      </c>
      <c r="E248">
        <f>IF(A248="","",SUM(Input_Data!E248:H248))</f>
        <v/>
      </c>
      <c r="F248">
        <f>IF(E248="","",E248/4)</f>
        <v/>
      </c>
      <c r="G248" s="2">
        <f>IF(E248="","",IF(COUNTA($E$2:$E$300)&lt;=1,0,PERCENTRANK.INC($E$2:$E$300,E248)))</f>
        <v/>
      </c>
      <c r="H248" s="2">
        <f>IF(G248="","",1-G248)</f>
        <v/>
      </c>
      <c r="I248" s="2">
        <f>Input_Data!I248</f>
        <v/>
      </c>
      <c r="J248" s="2">
        <f>IF(I248="","",IF(COUNTA($I$2:$I$300)&lt;=1,0,PERCENTRANK.INC($I$2:$I$300,I248)))</f>
        <v/>
      </c>
      <c r="K248">
        <f>Input_Data!J248</f>
        <v/>
      </c>
      <c r="L248">
        <f>Input_Data!K248</f>
        <v/>
      </c>
      <c r="M248">
        <f>Input_Data!L248</f>
        <v/>
      </c>
      <c r="N248">
        <f>IF(K248="","",K248-L248)</f>
        <v/>
      </c>
      <c r="O248">
        <f>IF(A248="","",IF(ABS(M248-N248)&lt;=1,"OK","CHECK"))</f>
        <v/>
      </c>
      <c r="P248">
        <f>IF(M248="","",IF(F248=0,99,M248/F248))</f>
        <v/>
      </c>
      <c r="Q248" s="2">
        <f>IF(P248="","",IF(COUNTA($P$2:$P$300)&lt;=1,0,PERCENTRANK.INC($P$2:$P$300,P248)))</f>
        <v/>
      </c>
      <c r="R248" s="2">
        <f>IF(A248="","",0.45*H248+0.35*Q248+0.20*J248)</f>
        <v/>
      </c>
      <c r="S248">
        <f>IF(G248="","",IF(G248&lt;=0.33,"Low Movement",IF(G248&lt;=0.66,"Medium Movement","High Movement")))</f>
        <v/>
      </c>
      <c r="T248">
        <f>IF(R248="","",IF(R248&gt;=0.67,"High Value Bundle",IF(R248&gt;=0.34,"Medium Value Bundle","Low Value Bundle")))</f>
        <v/>
      </c>
      <c r="U248">
        <f>IF(A248="","",IF(AND(G248&gt;=0.70,J248&gt;=0.70,M248&gt;0),"Yes","No"))</f>
        <v/>
      </c>
      <c r="V248">
        <f>IF(A248="","",IF(AND(S248="Low Movement",M248&gt;0,P248&gt;=2),"Yes","No"))</f>
        <v/>
      </c>
      <c r="W248" s="2">
        <f>IF(T248="","",MIN(0.12,IF(T248="High Value Bundle",0.05,IF(T248="Medium Value Bundle",0.07,0.10))+IF(P248&gt;=8,0.02,0)))</f>
        <v/>
      </c>
      <c r="X248">
        <f>IF(U248="Yes",C248&amp;"|anchor","")</f>
        <v/>
      </c>
      <c r="Y248">
        <f>IF(U248="Yes",B248,"")</f>
        <v/>
      </c>
    </row>
    <row r="249">
      <c r="A249">
        <f>Input_Data!C249</f>
        <v/>
      </c>
      <c r="B249">
        <f>Input_Data!A249</f>
        <v/>
      </c>
      <c r="C249">
        <f>Input_Data!B249</f>
        <v/>
      </c>
      <c r="D249">
        <f>Input_Data!D249</f>
        <v/>
      </c>
      <c r="E249">
        <f>IF(A249="","",SUM(Input_Data!E249:H249))</f>
        <v/>
      </c>
      <c r="F249">
        <f>IF(E249="","",E249/4)</f>
        <v/>
      </c>
      <c r="G249" s="2">
        <f>IF(E249="","",IF(COUNTA($E$2:$E$300)&lt;=1,0,PERCENTRANK.INC($E$2:$E$300,E249)))</f>
        <v/>
      </c>
      <c r="H249" s="2">
        <f>IF(G249="","",1-G249)</f>
        <v/>
      </c>
      <c r="I249" s="2">
        <f>Input_Data!I249</f>
        <v/>
      </c>
      <c r="J249" s="2">
        <f>IF(I249="","",IF(COUNTA($I$2:$I$300)&lt;=1,0,PERCENTRANK.INC($I$2:$I$300,I249)))</f>
        <v/>
      </c>
      <c r="K249">
        <f>Input_Data!J249</f>
        <v/>
      </c>
      <c r="L249">
        <f>Input_Data!K249</f>
        <v/>
      </c>
      <c r="M249">
        <f>Input_Data!L249</f>
        <v/>
      </c>
      <c r="N249">
        <f>IF(K249="","",K249-L249)</f>
        <v/>
      </c>
      <c r="O249">
        <f>IF(A249="","",IF(ABS(M249-N249)&lt;=1,"OK","CHECK"))</f>
        <v/>
      </c>
      <c r="P249">
        <f>IF(M249="","",IF(F249=0,99,M249/F249))</f>
        <v/>
      </c>
      <c r="Q249" s="2">
        <f>IF(P249="","",IF(COUNTA($P$2:$P$300)&lt;=1,0,PERCENTRANK.INC($P$2:$P$300,P249)))</f>
        <v/>
      </c>
      <c r="R249" s="2">
        <f>IF(A249="","",0.45*H249+0.35*Q249+0.20*J249)</f>
        <v/>
      </c>
      <c r="S249">
        <f>IF(G249="","",IF(G249&lt;=0.33,"Low Movement",IF(G249&lt;=0.66,"Medium Movement","High Movement")))</f>
        <v/>
      </c>
      <c r="T249">
        <f>IF(R249="","",IF(R249&gt;=0.67,"High Value Bundle",IF(R249&gt;=0.34,"Medium Value Bundle","Low Value Bundle")))</f>
        <v/>
      </c>
      <c r="U249">
        <f>IF(A249="","",IF(AND(G249&gt;=0.70,J249&gt;=0.70,M249&gt;0),"Yes","No"))</f>
        <v/>
      </c>
      <c r="V249">
        <f>IF(A249="","",IF(AND(S249="Low Movement",M249&gt;0,P249&gt;=2),"Yes","No"))</f>
        <v/>
      </c>
      <c r="W249" s="2">
        <f>IF(T249="","",MIN(0.12,IF(T249="High Value Bundle",0.05,IF(T249="Medium Value Bundle",0.07,0.10))+IF(P249&gt;=8,0.02,0)))</f>
        <v/>
      </c>
      <c r="X249">
        <f>IF(U249="Yes",C249&amp;"|anchor","")</f>
        <v/>
      </c>
      <c r="Y249">
        <f>IF(U249="Yes",B249,"")</f>
        <v/>
      </c>
    </row>
    <row r="250">
      <c r="A250">
        <f>Input_Data!C250</f>
        <v/>
      </c>
      <c r="B250">
        <f>Input_Data!A250</f>
        <v/>
      </c>
      <c r="C250">
        <f>Input_Data!B250</f>
        <v/>
      </c>
      <c r="D250">
        <f>Input_Data!D250</f>
        <v/>
      </c>
      <c r="E250">
        <f>IF(A250="","",SUM(Input_Data!E250:H250))</f>
        <v/>
      </c>
      <c r="F250">
        <f>IF(E250="","",E250/4)</f>
        <v/>
      </c>
      <c r="G250" s="2">
        <f>IF(E250="","",IF(COUNTA($E$2:$E$300)&lt;=1,0,PERCENTRANK.INC($E$2:$E$300,E250)))</f>
        <v/>
      </c>
      <c r="H250" s="2">
        <f>IF(G250="","",1-G250)</f>
        <v/>
      </c>
      <c r="I250" s="2">
        <f>Input_Data!I250</f>
        <v/>
      </c>
      <c r="J250" s="2">
        <f>IF(I250="","",IF(COUNTA($I$2:$I$300)&lt;=1,0,PERCENTRANK.INC($I$2:$I$300,I250)))</f>
        <v/>
      </c>
      <c r="K250">
        <f>Input_Data!J250</f>
        <v/>
      </c>
      <c r="L250">
        <f>Input_Data!K250</f>
        <v/>
      </c>
      <c r="M250">
        <f>Input_Data!L250</f>
        <v/>
      </c>
      <c r="N250">
        <f>IF(K250="","",K250-L250)</f>
        <v/>
      </c>
      <c r="O250">
        <f>IF(A250="","",IF(ABS(M250-N250)&lt;=1,"OK","CHECK"))</f>
        <v/>
      </c>
      <c r="P250">
        <f>IF(M250="","",IF(F250=0,99,M250/F250))</f>
        <v/>
      </c>
      <c r="Q250" s="2">
        <f>IF(P250="","",IF(COUNTA($P$2:$P$300)&lt;=1,0,PERCENTRANK.INC($P$2:$P$300,P250)))</f>
        <v/>
      </c>
      <c r="R250" s="2">
        <f>IF(A250="","",0.45*H250+0.35*Q250+0.20*J250)</f>
        <v/>
      </c>
      <c r="S250">
        <f>IF(G250="","",IF(G250&lt;=0.33,"Low Movement",IF(G250&lt;=0.66,"Medium Movement","High Movement")))</f>
        <v/>
      </c>
      <c r="T250">
        <f>IF(R250="","",IF(R250&gt;=0.67,"High Value Bundle",IF(R250&gt;=0.34,"Medium Value Bundle","Low Value Bundle")))</f>
        <v/>
      </c>
      <c r="U250">
        <f>IF(A250="","",IF(AND(G250&gt;=0.70,J250&gt;=0.70,M250&gt;0),"Yes","No"))</f>
        <v/>
      </c>
      <c r="V250">
        <f>IF(A250="","",IF(AND(S250="Low Movement",M250&gt;0,P250&gt;=2),"Yes","No"))</f>
        <v/>
      </c>
      <c r="W250" s="2">
        <f>IF(T250="","",MIN(0.12,IF(T250="High Value Bundle",0.05,IF(T250="Medium Value Bundle",0.07,0.10))+IF(P250&gt;=8,0.02,0)))</f>
        <v/>
      </c>
      <c r="X250">
        <f>IF(U250="Yes",C250&amp;"|anchor","")</f>
        <v/>
      </c>
      <c r="Y250">
        <f>IF(U250="Yes",B250,"")</f>
        <v/>
      </c>
    </row>
    <row r="251">
      <c r="A251">
        <f>Input_Data!C251</f>
        <v/>
      </c>
      <c r="B251">
        <f>Input_Data!A251</f>
        <v/>
      </c>
      <c r="C251">
        <f>Input_Data!B251</f>
        <v/>
      </c>
      <c r="D251">
        <f>Input_Data!D251</f>
        <v/>
      </c>
      <c r="E251">
        <f>IF(A251="","",SUM(Input_Data!E251:H251))</f>
        <v/>
      </c>
      <c r="F251">
        <f>IF(E251="","",E251/4)</f>
        <v/>
      </c>
      <c r="G251" s="2">
        <f>IF(E251="","",IF(COUNTA($E$2:$E$300)&lt;=1,0,PERCENTRANK.INC($E$2:$E$300,E251)))</f>
        <v/>
      </c>
      <c r="H251" s="2">
        <f>IF(G251="","",1-G251)</f>
        <v/>
      </c>
      <c r="I251" s="2">
        <f>Input_Data!I251</f>
        <v/>
      </c>
      <c r="J251" s="2">
        <f>IF(I251="","",IF(COUNTA($I$2:$I$300)&lt;=1,0,PERCENTRANK.INC($I$2:$I$300,I251)))</f>
        <v/>
      </c>
      <c r="K251">
        <f>Input_Data!J251</f>
        <v/>
      </c>
      <c r="L251">
        <f>Input_Data!K251</f>
        <v/>
      </c>
      <c r="M251">
        <f>Input_Data!L251</f>
        <v/>
      </c>
      <c r="N251">
        <f>IF(K251="","",K251-L251)</f>
        <v/>
      </c>
      <c r="O251">
        <f>IF(A251="","",IF(ABS(M251-N251)&lt;=1,"OK","CHECK"))</f>
        <v/>
      </c>
      <c r="P251">
        <f>IF(M251="","",IF(F251=0,99,M251/F251))</f>
        <v/>
      </c>
      <c r="Q251" s="2">
        <f>IF(P251="","",IF(COUNTA($P$2:$P$300)&lt;=1,0,PERCENTRANK.INC($P$2:$P$300,P251)))</f>
        <v/>
      </c>
      <c r="R251" s="2">
        <f>IF(A251="","",0.45*H251+0.35*Q251+0.20*J251)</f>
        <v/>
      </c>
      <c r="S251">
        <f>IF(G251="","",IF(G251&lt;=0.33,"Low Movement",IF(G251&lt;=0.66,"Medium Movement","High Movement")))</f>
        <v/>
      </c>
      <c r="T251">
        <f>IF(R251="","",IF(R251&gt;=0.67,"High Value Bundle",IF(R251&gt;=0.34,"Medium Value Bundle","Low Value Bundle")))</f>
        <v/>
      </c>
      <c r="U251">
        <f>IF(A251="","",IF(AND(G251&gt;=0.70,J251&gt;=0.70,M251&gt;0),"Yes","No"))</f>
        <v/>
      </c>
      <c r="V251">
        <f>IF(A251="","",IF(AND(S251="Low Movement",M251&gt;0,P251&gt;=2),"Yes","No"))</f>
        <v/>
      </c>
      <c r="W251" s="2">
        <f>IF(T251="","",MIN(0.12,IF(T251="High Value Bundle",0.05,IF(T251="Medium Value Bundle",0.07,0.10))+IF(P251&gt;=8,0.02,0)))</f>
        <v/>
      </c>
      <c r="X251">
        <f>IF(U251="Yes",C251&amp;"|anchor","")</f>
        <v/>
      </c>
      <c r="Y251">
        <f>IF(U251="Yes",B251,"")</f>
        <v/>
      </c>
    </row>
    <row r="252">
      <c r="A252">
        <f>Input_Data!C252</f>
        <v/>
      </c>
      <c r="B252">
        <f>Input_Data!A252</f>
        <v/>
      </c>
      <c r="C252">
        <f>Input_Data!B252</f>
        <v/>
      </c>
      <c r="D252">
        <f>Input_Data!D252</f>
        <v/>
      </c>
      <c r="E252">
        <f>IF(A252="","",SUM(Input_Data!E252:H252))</f>
        <v/>
      </c>
      <c r="F252">
        <f>IF(E252="","",E252/4)</f>
        <v/>
      </c>
      <c r="G252" s="2">
        <f>IF(E252="","",IF(COUNTA($E$2:$E$300)&lt;=1,0,PERCENTRANK.INC($E$2:$E$300,E252)))</f>
        <v/>
      </c>
      <c r="H252" s="2">
        <f>IF(G252="","",1-G252)</f>
        <v/>
      </c>
      <c r="I252" s="2">
        <f>Input_Data!I252</f>
        <v/>
      </c>
      <c r="J252" s="2">
        <f>IF(I252="","",IF(COUNTA($I$2:$I$300)&lt;=1,0,PERCENTRANK.INC($I$2:$I$300,I252)))</f>
        <v/>
      </c>
      <c r="K252">
        <f>Input_Data!J252</f>
        <v/>
      </c>
      <c r="L252">
        <f>Input_Data!K252</f>
        <v/>
      </c>
      <c r="M252">
        <f>Input_Data!L252</f>
        <v/>
      </c>
      <c r="N252">
        <f>IF(K252="","",K252-L252)</f>
        <v/>
      </c>
      <c r="O252">
        <f>IF(A252="","",IF(ABS(M252-N252)&lt;=1,"OK","CHECK"))</f>
        <v/>
      </c>
      <c r="P252">
        <f>IF(M252="","",IF(F252=0,99,M252/F252))</f>
        <v/>
      </c>
      <c r="Q252" s="2">
        <f>IF(P252="","",IF(COUNTA($P$2:$P$300)&lt;=1,0,PERCENTRANK.INC($P$2:$P$300,P252)))</f>
        <v/>
      </c>
      <c r="R252" s="2">
        <f>IF(A252="","",0.45*H252+0.35*Q252+0.20*J252)</f>
        <v/>
      </c>
      <c r="S252">
        <f>IF(G252="","",IF(G252&lt;=0.33,"Low Movement",IF(G252&lt;=0.66,"Medium Movement","High Movement")))</f>
        <v/>
      </c>
      <c r="T252">
        <f>IF(R252="","",IF(R252&gt;=0.67,"High Value Bundle",IF(R252&gt;=0.34,"Medium Value Bundle","Low Value Bundle")))</f>
        <v/>
      </c>
      <c r="U252">
        <f>IF(A252="","",IF(AND(G252&gt;=0.70,J252&gt;=0.70,M252&gt;0),"Yes","No"))</f>
        <v/>
      </c>
      <c r="V252">
        <f>IF(A252="","",IF(AND(S252="Low Movement",M252&gt;0,P252&gt;=2),"Yes","No"))</f>
        <v/>
      </c>
      <c r="W252" s="2">
        <f>IF(T252="","",MIN(0.12,IF(T252="High Value Bundle",0.05,IF(T252="Medium Value Bundle",0.07,0.10))+IF(P252&gt;=8,0.02,0)))</f>
        <v/>
      </c>
      <c r="X252">
        <f>IF(U252="Yes",C252&amp;"|anchor","")</f>
        <v/>
      </c>
      <c r="Y252">
        <f>IF(U252="Yes",B252,"")</f>
        <v/>
      </c>
    </row>
    <row r="253">
      <c r="A253">
        <f>Input_Data!C253</f>
        <v/>
      </c>
      <c r="B253">
        <f>Input_Data!A253</f>
        <v/>
      </c>
      <c r="C253">
        <f>Input_Data!B253</f>
        <v/>
      </c>
      <c r="D253">
        <f>Input_Data!D253</f>
        <v/>
      </c>
      <c r="E253">
        <f>IF(A253="","",SUM(Input_Data!E253:H253))</f>
        <v/>
      </c>
      <c r="F253">
        <f>IF(E253="","",E253/4)</f>
        <v/>
      </c>
      <c r="G253" s="2">
        <f>IF(E253="","",IF(COUNTA($E$2:$E$300)&lt;=1,0,PERCENTRANK.INC($E$2:$E$300,E253)))</f>
        <v/>
      </c>
      <c r="H253" s="2">
        <f>IF(G253="","",1-G253)</f>
        <v/>
      </c>
      <c r="I253" s="2">
        <f>Input_Data!I253</f>
        <v/>
      </c>
      <c r="J253" s="2">
        <f>IF(I253="","",IF(COUNTA($I$2:$I$300)&lt;=1,0,PERCENTRANK.INC($I$2:$I$300,I253)))</f>
        <v/>
      </c>
      <c r="K253">
        <f>Input_Data!J253</f>
        <v/>
      </c>
      <c r="L253">
        <f>Input_Data!K253</f>
        <v/>
      </c>
      <c r="M253">
        <f>Input_Data!L253</f>
        <v/>
      </c>
      <c r="N253">
        <f>IF(K253="","",K253-L253)</f>
        <v/>
      </c>
      <c r="O253">
        <f>IF(A253="","",IF(ABS(M253-N253)&lt;=1,"OK","CHECK"))</f>
        <v/>
      </c>
      <c r="P253">
        <f>IF(M253="","",IF(F253=0,99,M253/F253))</f>
        <v/>
      </c>
      <c r="Q253" s="2">
        <f>IF(P253="","",IF(COUNTA($P$2:$P$300)&lt;=1,0,PERCENTRANK.INC($P$2:$P$300,P253)))</f>
        <v/>
      </c>
      <c r="R253" s="2">
        <f>IF(A253="","",0.45*H253+0.35*Q253+0.20*J253)</f>
        <v/>
      </c>
      <c r="S253">
        <f>IF(G253="","",IF(G253&lt;=0.33,"Low Movement",IF(G253&lt;=0.66,"Medium Movement","High Movement")))</f>
        <v/>
      </c>
      <c r="T253">
        <f>IF(R253="","",IF(R253&gt;=0.67,"High Value Bundle",IF(R253&gt;=0.34,"Medium Value Bundle","Low Value Bundle")))</f>
        <v/>
      </c>
      <c r="U253">
        <f>IF(A253="","",IF(AND(G253&gt;=0.70,J253&gt;=0.70,M253&gt;0),"Yes","No"))</f>
        <v/>
      </c>
      <c r="V253">
        <f>IF(A253="","",IF(AND(S253="Low Movement",M253&gt;0,P253&gt;=2),"Yes","No"))</f>
        <v/>
      </c>
      <c r="W253" s="2">
        <f>IF(T253="","",MIN(0.12,IF(T253="High Value Bundle",0.05,IF(T253="Medium Value Bundle",0.07,0.10))+IF(P253&gt;=8,0.02,0)))</f>
        <v/>
      </c>
      <c r="X253">
        <f>IF(U253="Yes",C253&amp;"|anchor","")</f>
        <v/>
      </c>
      <c r="Y253">
        <f>IF(U253="Yes",B253,"")</f>
        <v/>
      </c>
    </row>
    <row r="254">
      <c r="A254">
        <f>Input_Data!C254</f>
        <v/>
      </c>
      <c r="B254">
        <f>Input_Data!A254</f>
        <v/>
      </c>
      <c r="C254">
        <f>Input_Data!B254</f>
        <v/>
      </c>
      <c r="D254">
        <f>Input_Data!D254</f>
        <v/>
      </c>
      <c r="E254">
        <f>IF(A254="","",SUM(Input_Data!E254:H254))</f>
        <v/>
      </c>
      <c r="F254">
        <f>IF(E254="","",E254/4)</f>
        <v/>
      </c>
      <c r="G254" s="2">
        <f>IF(E254="","",IF(COUNTA($E$2:$E$300)&lt;=1,0,PERCENTRANK.INC($E$2:$E$300,E254)))</f>
        <v/>
      </c>
      <c r="H254" s="2">
        <f>IF(G254="","",1-G254)</f>
        <v/>
      </c>
      <c r="I254" s="2">
        <f>Input_Data!I254</f>
        <v/>
      </c>
      <c r="J254" s="2">
        <f>IF(I254="","",IF(COUNTA($I$2:$I$300)&lt;=1,0,PERCENTRANK.INC($I$2:$I$300,I254)))</f>
        <v/>
      </c>
      <c r="K254">
        <f>Input_Data!J254</f>
        <v/>
      </c>
      <c r="L254">
        <f>Input_Data!K254</f>
        <v/>
      </c>
      <c r="M254">
        <f>Input_Data!L254</f>
        <v/>
      </c>
      <c r="N254">
        <f>IF(K254="","",K254-L254)</f>
        <v/>
      </c>
      <c r="O254">
        <f>IF(A254="","",IF(ABS(M254-N254)&lt;=1,"OK","CHECK"))</f>
        <v/>
      </c>
      <c r="P254">
        <f>IF(M254="","",IF(F254=0,99,M254/F254))</f>
        <v/>
      </c>
      <c r="Q254" s="2">
        <f>IF(P254="","",IF(COUNTA($P$2:$P$300)&lt;=1,0,PERCENTRANK.INC($P$2:$P$300,P254)))</f>
        <v/>
      </c>
      <c r="R254" s="2">
        <f>IF(A254="","",0.45*H254+0.35*Q254+0.20*J254)</f>
        <v/>
      </c>
      <c r="S254">
        <f>IF(G254="","",IF(G254&lt;=0.33,"Low Movement",IF(G254&lt;=0.66,"Medium Movement","High Movement")))</f>
        <v/>
      </c>
      <c r="T254">
        <f>IF(R254="","",IF(R254&gt;=0.67,"High Value Bundle",IF(R254&gt;=0.34,"Medium Value Bundle","Low Value Bundle")))</f>
        <v/>
      </c>
      <c r="U254">
        <f>IF(A254="","",IF(AND(G254&gt;=0.70,J254&gt;=0.70,M254&gt;0),"Yes","No"))</f>
        <v/>
      </c>
      <c r="V254">
        <f>IF(A254="","",IF(AND(S254="Low Movement",M254&gt;0,P254&gt;=2),"Yes","No"))</f>
        <v/>
      </c>
      <c r="W254" s="2">
        <f>IF(T254="","",MIN(0.12,IF(T254="High Value Bundle",0.05,IF(T254="Medium Value Bundle",0.07,0.10))+IF(P254&gt;=8,0.02,0)))</f>
        <v/>
      </c>
      <c r="X254">
        <f>IF(U254="Yes",C254&amp;"|anchor","")</f>
        <v/>
      </c>
      <c r="Y254">
        <f>IF(U254="Yes",B254,"")</f>
        <v/>
      </c>
    </row>
    <row r="255">
      <c r="A255">
        <f>Input_Data!C255</f>
        <v/>
      </c>
      <c r="B255">
        <f>Input_Data!A255</f>
        <v/>
      </c>
      <c r="C255">
        <f>Input_Data!B255</f>
        <v/>
      </c>
      <c r="D255">
        <f>Input_Data!D255</f>
        <v/>
      </c>
      <c r="E255">
        <f>IF(A255="","",SUM(Input_Data!E255:H255))</f>
        <v/>
      </c>
      <c r="F255">
        <f>IF(E255="","",E255/4)</f>
        <v/>
      </c>
      <c r="G255" s="2">
        <f>IF(E255="","",IF(COUNTA($E$2:$E$300)&lt;=1,0,PERCENTRANK.INC($E$2:$E$300,E255)))</f>
        <v/>
      </c>
      <c r="H255" s="2">
        <f>IF(G255="","",1-G255)</f>
        <v/>
      </c>
      <c r="I255" s="2">
        <f>Input_Data!I255</f>
        <v/>
      </c>
      <c r="J255" s="2">
        <f>IF(I255="","",IF(COUNTA($I$2:$I$300)&lt;=1,0,PERCENTRANK.INC($I$2:$I$300,I255)))</f>
        <v/>
      </c>
      <c r="K255">
        <f>Input_Data!J255</f>
        <v/>
      </c>
      <c r="L255">
        <f>Input_Data!K255</f>
        <v/>
      </c>
      <c r="M255">
        <f>Input_Data!L255</f>
        <v/>
      </c>
      <c r="N255">
        <f>IF(K255="","",K255-L255)</f>
        <v/>
      </c>
      <c r="O255">
        <f>IF(A255="","",IF(ABS(M255-N255)&lt;=1,"OK","CHECK"))</f>
        <v/>
      </c>
      <c r="P255">
        <f>IF(M255="","",IF(F255=0,99,M255/F255))</f>
        <v/>
      </c>
      <c r="Q255" s="2">
        <f>IF(P255="","",IF(COUNTA($P$2:$P$300)&lt;=1,0,PERCENTRANK.INC($P$2:$P$300,P255)))</f>
        <v/>
      </c>
      <c r="R255" s="2">
        <f>IF(A255="","",0.45*H255+0.35*Q255+0.20*J255)</f>
        <v/>
      </c>
      <c r="S255">
        <f>IF(G255="","",IF(G255&lt;=0.33,"Low Movement",IF(G255&lt;=0.66,"Medium Movement","High Movement")))</f>
        <v/>
      </c>
      <c r="T255">
        <f>IF(R255="","",IF(R255&gt;=0.67,"High Value Bundle",IF(R255&gt;=0.34,"Medium Value Bundle","Low Value Bundle")))</f>
        <v/>
      </c>
      <c r="U255">
        <f>IF(A255="","",IF(AND(G255&gt;=0.70,J255&gt;=0.70,M255&gt;0),"Yes","No"))</f>
        <v/>
      </c>
      <c r="V255">
        <f>IF(A255="","",IF(AND(S255="Low Movement",M255&gt;0,P255&gt;=2),"Yes","No"))</f>
        <v/>
      </c>
      <c r="W255" s="2">
        <f>IF(T255="","",MIN(0.12,IF(T255="High Value Bundle",0.05,IF(T255="Medium Value Bundle",0.07,0.10))+IF(P255&gt;=8,0.02,0)))</f>
        <v/>
      </c>
      <c r="X255">
        <f>IF(U255="Yes",C255&amp;"|anchor","")</f>
        <v/>
      </c>
      <c r="Y255">
        <f>IF(U255="Yes",B255,"")</f>
        <v/>
      </c>
    </row>
    <row r="256">
      <c r="A256">
        <f>Input_Data!C256</f>
        <v/>
      </c>
      <c r="B256">
        <f>Input_Data!A256</f>
        <v/>
      </c>
      <c r="C256">
        <f>Input_Data!B256</f>
        <v/>
      </c>
      <c r="D256">
        <f>Input_Data!D256</f>
        <v/>
      </c>
      <c r="E256">
        <f>IF(A256="","",SUM(Input_Data!E256:H256))</f>
        <v/>
      </c>
      <c r="F256">
        <f>IF(E256="","",E256/4)</f>
        <v/>
      </c>
      <c r="G256" s="2">
        <f>IF(E256="","",IF(COUNTA($E$2:$E$300)&lt;=1,0,PERCENTRANK.INC($E$2:$E$300,E256)))</f>
        <v/>
      </c>
      <c r="H256" s="2">
        <f>IF(G256="","",1-G256)</f>
        <v/>
      </c>
      <c r="I256" s="2">
        <f>Input_Data!I256</f>
        <v/>
      </c>
      <c r="J256" s="2">
        <f>IF(I256="","",IF(COUNTA($I$2:$I$300)&lt;=1,0,PERCENTRANK.INC($I$2:$I$300,I256)))</f>
        <v/>
      </c>
      <c r="K256">
        <f>Input_Data!J256</f>
        <v/>
      </c>
      <c r="L256">
        <f>Input_Data!K256</f>
        <v/>
      </c>
      <c r="M256">
        <f>Input_Data!L256</f>
        <v/>
      </c>
      <c r="N256">
        <f>IF(K256="","",K256-L256)</f>
        <v/>
      </c>
      <c r="O256">
        <f>IF(A256="","",IF(ABS(M256-N256)&lt;=1,"OK","CHECK"))</f>
        <v/>
      </c>
      <c r="P256">
        <f>IF(M256="","",IF(F256=0,99,M256/F256))</f>
        <v/>
      </c>
      <c r="Q256" s="2">
        <f>IF(P256="","",IF(COUNTA($P$2:$P$300)&lt;=1,0,PERCENTRANK.INC($P$2:$P$300,P256)))</f>
        <v/>
      </c>
      <c r="R256" s="2">
        <f>IF(A256="","",0.45*H256+0.35*Q256+0.20*J256)</f>
        <v/>
      </c>
      <c r="S256">
        <f>IF(G256="","",IF(G256&lt;=0.33,"Low Movement",IF(G256&lt;=0.66,"Medium Movement","High Movement")))</f>
        <v/>
      </c>
      <c r="T256">
        <f>IF(R256="","",IF(R256&gt;=0.67,"High Value Bundle",IF(R256&gt;=0.34,"Medium Value Bundle","Low Value Bundle")))</f>
        <v/>
      </c>
      <c r="U256">
        <f>IF(A256="","",IF(AND(G256&gt;=0.70,J256&gt;=0.70,M256&gt;0),"Yes","No"))</f>
        <v/>
      </c>
      <c r="V256">
        <f>IF(A256="","",IF(AND(S256="Low Movement",M256&gt;0,P256&gt;=2),"Yes","No"))</f>
        <v/>
      </c>
      <c r="W256" s="2">
        <f>IF(T256="","",MIN(0.12,IF(T256="High Value Bundle",0.05,IF(T256="Medium Value Bundle",0.07,0.10))+IF(P256&gt;=8,0.02,0)))</f>
        <v/>
      </c>
      <c r="X256">
        <f>IF(U256="Yes",C256&amp;"|anchor","")</f>
        <v/>
      </c>
      <c r="Y256">
        <f>IF(U256="Yes",B256,"")</f>
        <v/>
      </c>
    </row>
    <row r="257">
      <c r="A257">
        <f>Input_Data!C257</f>
        <v/>
      </c>
      <c r="B257">
        <f>Input_Data!A257</f>
        <v/>
      </c>
      <c r="C257">
        <f>Input_Data!B257</f>
        <v/>
      </c>
      <c r="D257">
        <f>Input_Data!D257</f>
        <v/>
      </c>
      <c r="E257">
        <f>IF(A257="","",SUM(Input_Data!E257:H257))</f>
        <v/>
      </c>
      <c r="F257">
        <f>IF(E257="","",E257/4)</f>
        <v/>
      </c>
      <c r="G257" s="2">
        <f>IF(E257="","",IF(COUNTA($E$2:$E$300)&lt;=1,0,PERCENTRANK.INC($E$2:$E$300,E257)))</f>
        <v/>
      </c>
      <c r="H257" s="2">
        <f>IF(G257="","",1-G257)</f>
        <v/>
      </c>
      <c r="I257" s="2">
        <f>Input_Data!I257</f>
        <v/>
      </c>
      <c r="J257" s="2">
        <f>IF(I257="","",IF(COUNTA($I$2:$I$300)&lt;=1,0,PERCENTRANK.INC($I$2:$I$300,I257)))</f>
        <v/>
      </c>
      <c r="K257">
        <f>Input_Data!J257</f>
        <v/>
      </c>
      <c r="L257">
        <f>Input_Data!K257</f>
        <v/>
      </c>
      <c r="M257">
        <f>Input_Data!L257</f>
        <v/>
      </c>
      <c r="N257">
        <f>IF(K257="","",K257-L257)</f>
        <v/>
      </c>
      <c r="O257">
        <f>IF(A257="","",IF(ABS(M257-N257)&lt;=1,"OK","CHECK"))</f>
        <v/>
      </c>
      <c r="P257">
        <f>IF(M257="","",IF(F257=0,99,M257/F257))</f>
        <v/>
      </c>
      <c r="Q257" s="2">
        <f>IF(P257="","",IF(COUNTA($P$2:$P$300)&lt;=1,0,PERCENTRANK.INC($P$2:$P$300,P257)))</f>
        <v/>
      </c>
      <c r="R257" s="2">
        <f>IF(A257="","",0.45*H257+0.35*Q257+0.20*J257)</f>
        <v/>
      </c>
      <c r="S257">
        <f>IF(G257="","",IF(G257&lt;=0.33,"Low Movement",IF(G257&lt;=0.66,"Medium Movement","High Movement")))</f>
        <v/>
      </c>
      <c r="T257">
        <f>IF(R257="","",IF(R257&gt;=0.67,"High Value Bundle",IF(R257&gt;=0.34,"Medium Value Bundle","Low Value Bundle")))</f>
        <v/>
      </c>
      <c r="U257">
        <f>IF(A257="","",IF(AND(G257&gt;=0.70,J257&gt;=0.70,M257&gt;0),"Yes","No"))</f>
        <v/>
      </c>
      <c r="V257">
        <f>IF(A257="","",IF(AND(S257="Low Movement",M257&gt;0,P257&gt;=2),"Yes","No"))</f>
        <v/>
      </c>
      <c r="W257" s="2">
        <f>IF(T257="","",MIN(0.12,IF(T257="High Value Bundle",0.05,IF(T257="Medium Value Bundle",0.07,0.10))+IF(P257&gt;=8,0.02,0)))</f>
        <v/>
      </c>
      <c r="X257">
        <f>IF(U257="Yes",C257&amp;"|anchor","")</f>
        <v/>
      </c>
      <c r="Y257">
        <f>IF(U257="Yes",B257,"")</f>
        <v/>
      </c>
    </row>
    <row r="258">
      <c r="A258">
        <f>Input_Data!C258</f>
        <v/>
      </c>
      <c r="B258">
        <f>Input_Data!A258</f>
        <v/>
      </c>
      <c r="C258">
        <f>Input_Data!B258</f>
        <v/>
      </c>
      <c r="D258">
        <f>Input_Data!D258</f>
        <v/>
      </c>
      <c r="E258">
        <f>IF(A258="","",SUM(Input_Data!E258:H258))</f>
        <v/>
      </c>
      <c r="F258">
        <f>IF(E258="","",E258/4)</f>
        <v/>
      </c>
      <c r="G258" s="2">
        <f>IF(E258="","",IF(COUNTA($E$2:$E$300)&lt;=1,0,PERCENTRANK.INC($E$2:$E$300,E258)))</f>
        <v/>
      </c>
      <c r="H258" s="2">
        <f>IF(G258="","",1-G258)</f>
        <v/>
      </c>
      <c r="I258" s="2">
        <f>Input_Data!I258</f>
        <v/>
      </c>
      <c r="J258" s="2">
        <f>IF(I258="","",IF(COUNTA($I$2:$I$300)&lt;=1,0,PERCENTRANK.INC($I$2:$I$300,I258)))</f>
        <v/>
      </c>
      <c r="K258">
        <f>Input_Data!J258</f>
        <v/>
      </c>
      <c r="L258">
        <f>Input_Data!K258</f>
        <v/>
      </c>
      <c r="M258">
        <f>Input_Data!L258</f>
        <v/>
      </c>
      <c r="N258">
        <f>IF(K258="","",K258-L258)</f>
        <v/>
      </c>
      <c r="O258">
        <f>IF(A258="","",IF(ABS(M258-N258)&lt;=1,"OK","CHECK"))</f>
        <v/>
      </c>
      <c r="P258">
        <f>IF(M258="","",IF(F258=0,99,M258/F258))</f>
        <v/>
      </c>
      <c r="Q258" s="2">
        <f>IF(P258="","",IF(COUNTA($P$2:$P$300)&lt;=1,0,PERCENTRANK.INC($P$2:$P$300,P258)))</f>
        <v/>
      </c>
      <c r="R258" s="2">
        <f>IF(A258="","",0.45*H258+0.35*Q258+0.20*J258)</f>
        <v/>
      </c>
      <c r="S258">
        <f>IF(G258="","",IF(G258&lt;=0.33,"Low Movement",IF(G258&lt;=0.66,"Medium Movement","High Movement")))</f>
        <v/>
      </c>
      <c r="T258">
        <f>IF(R258="","",IF(R258&gt;=0.67,"High Value Bundle",IF(R258&gt;=0.34,"Medium Value Bundle","Low Value Bundle")))</f>
        <v/>
      </c>
      <c r="U258">
        <f>IF(A258="","",IF(AND(G258&gt;=0.70,J258&gt;=0.70,M258&gt;0),"Yes","No"))</f>
        <v/>
      </c>
      <c r="V258">
        <f>IF(A258="","",IF(AND(S258="Low Movement",M258&gt;0,P258&gt;=2),"Yes","No"))</f>
        <v/>
      </c>
      <c r="W258" s="2">
        <f>IF(T258="","",MIN(0.12,IF(T258="High Value Bundle",0.05,IF(T258="Medium Value Bundle",0.07,0.10))+IF(P258&gt;=8,0.02,0)))</f>
        <v/>
      </c>
      <c r="X258">
        <f>IF(U258="Yes",C258&amp;"|anchor","")</f>
        <v/>
      </c>
      <c r="Y258">
        <f>IF(U258="Yes",B258,"")</f>
        <v/>
      </c>
    </row>
    <row r="259">
      <c r="A259">
        <f>Input_Data!C259</f>
        <v/>
      </c>
      <c r="B259">
        <f>Input_Data!A259</f>
        <v/>
      </c>
      <c r="C259">
        <f>Input_Data!B259</f>
        <v/>
      </c>
      <c r="D259">
        <f>Input_Data!D259</f>
        <v/>
      </c>
      <c r="E259">
        <f>IF(A259="","",SUM(Input_Data!E259:H259))</f>
        <v/>
      </c>
      <c r="F259">
        <f>IF(E259="","",E259/4)</f>
        <v/>
      </c>
      <c r="G259" s="2">
        <f>IF(E259="","",IF(COUNTA($E$2:$E$300)&lt;=1,0,PERCENTRANK.INC($E$2:$E$300,E259)))</f>
        <v/>
      </c>
      <c r="H259" s="2">
        <f>IF(G259="","",1-G259)</f>
        <v/>
      </c>
      <c r="I259" s="2">
        <f>Input_Data!I259</f>
        <v/>
      </c>
      <c r="J259" s="2">
        <f>IF(I259="","",IF(COUNTA($I$2:$I$300)&lt;=1,0,PERCENTRANK.INC($I$2:$I$300,I259)))</f>
        <v/>
      </c>
      <c r="K259">
        <f>Input_Data!J259</f>
        <v/>
      </c>
      <c r="L259">
        <f>Input_Data!K259</f>
        <v/>
      </c>
      <c r="M259">
        <f>Input_Data!L259</f>
        <v/>
      </c>
      <c r="N259">
        <f>IF(K259="","",K259-L259)</f>
        <v/>
      </c>
      <c r="O259">
        <f>IF(A259="","",IF(ABS(M259-N259)&lt;=1,"OK","CHECK"))</f>
        <v/>
      </c>
      <c r="P259">
        <f>IF(M259="","",IF(F259=0,99,M259/F259))</f>
        <v/>
      </c>
      <c r="Q259" s="2">
        <f>IF(P259="","",IF(COUNTA($P$2:$P$300)&lt;=1,0,PERCENTRANK.INC($P$2:$P$300,P259)))</f>
        <v/>
      </c>
      <c r="R259" s="2">
        <f>IF(A259="","",0.45*H259+0.35*Q259+0.20*J259)</f>
        <v/>
      </c>
      <c r="S259">
        <f>IF(G259="","",IF(G259&lt;=0.33,"Low Movement",IF(G259&lt;=0.66,"Medium Movement","High Movement")))</f>
        <v/>
      </c>
      <c r="T259">
        <f>IF(R259="","",IF(R259&gt;=0.67,"High Value Bundle",IF(R259&gt;=0.34,"Medium Value Bundle","Low Value Bundle")))</f>
        <v/>
      </c>
      <c r="U259">
        <f>IF(A259="","",IF(AND(G259&gt;=0.70,J259&gt;=0.70,M259&gt;0),"Yes","No"))</f>
        <v/>
      </c>
      <c r="V259">
        <f>IF(A259="","",IF(AND(S259="Low Movement",M259&gt;0,P259&gt;=2),"Yes","No"))</f>
        <v/>
      </c>
      <c r="W259" s="2">
        <f>IF(T259="","",MIN(0.12,IF(T259="High Value Bundle",0.05,IF(T259="Medium Value Bundle",0.07,0.10))+IF(P259&gt;=8,0.02,0)))</f>
        <v/>
      </c>
      <c r="X259">
        <f>IF(U259="Yes",C259&amp;"|anchor","")</f>
        <v/>
      </c>
      <c r="Y259">
        <f>IF(U259="Yes",B259,"")</f>
        <v/>
      </c>
    </row>
    <row r="260">
      <c r="A260">
        <f>Input_Data!C260</f>
        <v/>
      </c>
      <c r="B260">
        <f>Input_Data!A260</f>
        <v/>
      </c>
      <c r="C260">
        <f>Input_Data!B260</f>
        <v/>
      </c>
      <c r="D260">
        <f>Input_Data!D260</f>
        <v/>
      </c>
      <c r="E260">
        <f>IF(A260="","",SUM(Input_Data!E260:H260))</f>
        <v/>
      </c>
      <c r="F260">
        <f>IF(E260="","",E260/4)</f>
        <v/>
      </c>
      <c r="G260" s="2">
        <f>IF(E260="","",IF(COUNTA($E$2:$E$300)&lt;=1,0,PERCENTRANK.INC($E$2:$E$300,E260)))</f>
        <v/>
      </c>
      <c r="H260" s="2">
        <f>IF(G260="","",1-G260)</f>
        <v/>
      </c>
      <c r="I260" s="2">
        <f>Input_Data!I260</f>
        <v/>
      </c>
      <c r="J260" s="2">
        <f>IF(I260="","",IF(COUNTA($I$2:$I$300)&lt;=1,0,PERCENTRANK.INC($I$2:$I$300,I260)))</f>
        <v/>
      </c>
      <c r="K260">
        <f>Input_Data!J260</f>
        <v/>
      </c>
      <c r="L260">
        <f>Input_Data!K260</f>
        <v/>
      </c>
      <c r="M260">
        <f>Input_Data!L260</f>
        <v/>
      </c>
      <c r="N260">
        <f>IF(K260="","",K260-L260)</f>
        <v/>
      </c>
      <c r="O260">
        <f>IF(A260="","",IF(ABS(M260-N260)&lt;=1,"OK","CHECK"))</f>
        <v/>
      </c>
      <c r="P260">
        <f>IF(M260="","",IF(F260=0,99,M260/F260))</f>
        <v/>
      </c>
      <c r="Q260" s="2">
        <f>IF(P260="","",IF(COUNTA($P$2:$P$300)&lt;=1,0,PERCENTRANK.INC($P$2:$P$300,P260)))</f>
        <v/>
      </c>
      <c r="R260" s="2">
        <f>IF(A260="","",0.45*H260+0.35*Q260+0.20*J260)</f>
        <v/>
      </c>
      <c r="S260">
        <f>IF(G260="","",IF(G260&lt;=0.33,"Low Movement",IF(G260&lt;=0.66,"Medium Movement","High Movement")))</f>
        <v/>
      </c>
      <c r="T260">
        <f>IF(R260="","",IF(R260&gt;=0.67,"High Value Bundle",IF(R260&gt;=0.34,"Medium Value Bundle","Low Value Bundle")))</f>
        <v/>
      </c>
      <c r="U260">
        <f>IF(A260="","",IF(AND(G260&gt;=0.70,J260&gt;=0.70,M260&gt;0),"Yes","No"))</f>
        <v/>
      </c>
      <c r="V260">
        <f>IF(A260="","",IF(AND(S260="Low Movement",M260&gt;0,P260&gt;=2),"Yes","No"))</f>
        <v/>
      </c>
      <c r="W260" s="2">
        <f>IF(T260="","",MIN(0.12,IF(T260="High Value Bundle",0.05,IF(T260="Medium Value Bundle",0.07,0.10))+IF(P260&gt;=8,0.02,0)))</f>
        <v/>
      </c>
      <c r="X260">
        <f>IF(U260="Yes",C260&amp;"|anchor","")</f>
        <v/>
      </c>
      <c r="Y260">
        <f>IF(U260="Yes",B260,"")</f>
        <v/>
      </c>
    </row>
    <row r="261">
      <c r="A261">
        <f>Input_Data!C261</f>
        <v/>
      </c>
      <c r="B261">
        <f>Input_Data!A261</f>
        <v/>
      </c>
      <c r="C261">
        <f>Input_Data!B261</f>
        <v/>
      </c>
      <c r="D261">
        <f>Input_Data!D261</f>
        <v/>
      </c>
      <c r="E261">
        <f>IF(A261="","",SUM(Input_Data!E261:H261))</f>
        <v/>
      </c>
      <c r="F261">
        <f>IF(E261="","",E261/4)</f>
        <v/>
      </c>
      <c r="G261" s="2">
        <f>IF(E261="","",IF(COUNTA($E$2:$E$300)&lt;=1,0,PERCENTRANK.INC($E$2:$E$300,E261)))</f>
        <v/>
      </c>
      <c r="H261" s="2">
        <f>IF(G261="","",1-G261)</f>
        <v/>
      </c>
      <c r="I261" s="2">
        <f>Input_Data!I261</f>
        <v/>
      </c>
      <c r="J261" s="2">
        <f>IF(I261="","",IF(COUNTA($I$2:$I$300)&lt;=1,0,PERCENTRANK.INC($I$2:$I$300,I261)))</f>
        <v/>
      </c>
      <c r="K261">
        <f>Input_Data!J261</f>
        <v/>
      </c>
      <c r="L261">
        <f>Input_Data!K261</f>
        <v/>
      </c>
      <c r="M261">
        <f>Input_Data!L261</f>
        <v/>
      </c>
      <c r="N261">
        <f>IF(K261="","",K261-L261)</f>
        <v/>
      </c>
      <c r="O261">
        <f>IF(A261="","",IF(ABS(M261-N261)&lt;=1,"OK","CHECK"))</f>
        <v/>
      </c>
      <c r="P261">
        <f>IF(M261="","",IF(F261=0,99,M261/F261))</f>
        <v/>
      </c>
      <c r="Q261" s="2">
        <f>IF(P261="","",IF(COUNTA($P$2:$P$300)&lt;=1,0,PERCENTRANK.INC($P$2:$P$300,P261)))</f>
        <v/>
      </c>
      <c r="R261" s="2">
        <f>IF(A261="","",0.45*H261+0.35*Q261+0.20*J261)</f>
        <v/>
      </c>
      <c r="S261">
        <f>IF(G261="","",IF(G261&lt;=0.33,"Low Movement",IF(G261&lt;=0.66,"Medium Movement","High Movement")))</f>
        <v/>
      </c>
      <c r="T261">
        <f>IF(R261="","",IF(R261&gt;=0.67,"High Value Bundle",IF(R261&gt;=0.34,"Medium Value Bundle","Low Value Bundle")))</f>
        <v/>
      </c>
      <c r="U261">
        <f>IF(A261="","",IF(AND(G261&gt;=0.70,J261&gt;=0.70,M261&gt;0),"Yes","No"))</f>
        <v/>
      </c>
      <c r="V261">
        <f>IF(A261="","",IF(AND(S261="Low Movement",M261&gt;0,P261&gt;=2),"Yes","No"))</f>
        <v/>
      </c>
      <c r="W261" s="2">
        <f>IF(T261="","",MIN(0.12,IF(T261="High Value Bundle",0.05,IF(T261="Medium Value Bundle",0.07,0.10))+IF(P261&gt;=8,0.02,0)))</f>
        <v/>
      </c>
      <c r="X261">
        <f>IF(U261="Yes",C261&amp;"|anchor","")</f>
        <v/>
      </c>
      <c r="Y261">
        <f>IF(U261="Yes",B261,"")</f>
        <v/>
      </c>
    </row>
    <row r="262">
      <c r="A262">
        <f>Input_Data!C262</f>
        <v/>
      </c>
      <c r="B262">
        <f>Input_Data!A262</f>
        <v/>
      </c>
      <c r="C262">
        <f>Input_Data!B262</f>
        <v/>
      </c>
      <c r="D262">
        <f>Input_Data!D262</f>
        <v/>
      </c>
      <c r="E262">
        <f>IF(A262="","",SUM(Input_Data!E262:H262))</f>
        <v/>
      </c>
      <c r="F262">
        <f>IF(E262="","",E262/4)</f>
        <v/>
      </c>
      <c r="G262" s="2">
        <f>IF(E262="","",IF(COUNTA($E$2:$E$300)&lt;=1,0,PERCENTRANK.INC($E$2:$E$300,E262)))</f>
        <v/>
      </c>
      <c r="H262" s="2">
        <f>IF(G262="","",1-G262)</f>
        <v/>
      </c>
      <c r="I262" s="2">
        <f>Input_Data!I262</f>
        <v/>
      </c>
      <c r="J262" s="2">
        <f>IF(I262="","",IF(COUNTA($I$2:$I$300)&lt;=1,0,PERCENTRANK.INC($I$2:$I$300,I262)))</f>
        <v/>
      </c>
      <c r="K262">
        <f>Input_Data!J262</f>
        <v/>
      </c>
      <c r="L262">
        <f>Input_Data!K262</f>
        <v/>
      </c>
      <c r="M262">
        <f>Input_Data!L262</f>
        <v/>
      </c>
      <c r="N262">
        <f>IF(K262="","",K262-L262)</f>
        <v/>
      </c>
      <c r="O262">
        <f>IF(A262="","",IF(ABS(M262-N262)&lt;=1,"OK","CHECK"))</f>
        <v/>
      </c>
      <c r="P262">
        <f>IF(M262="","",IF(F262=0,99,M262/F262))</f>
        <v/>
      </c>
      <c r="Q262" s="2">
        <f>IF(P262="","",IF(COUNTA($P$2:$P$300)&lt;=1,0,PERCENTRANK.INC($P$2:$P$300,P262)))</f>
        <v/>
      </c>
      <c r="R262" s="2">
        <f>IF(A262="","",0.45*H262+0.35*Q262+0.20*J262)</f>
        <v/>
      </c>
      <c r="S262">
        <f>IF(G262="","",IF(G262&lt;=0.33,"Low Movement",IF(G262&lt;=0.66,"Medium Movement","High Movement")))</f>
        <v/>
      </c>
      <c r="T262">
        <f>IF(R262="","",IF(R262&gt;=0.67,"High Value Bundle",IF(R262&gt;=0.34,"Medium Value Bundle","Low Value Bundle")))</f>
        <v/>
      </c>
      <c r="U262">
        <f>IF(A262="","",IF(AND(G262&gt;=0.70,J262&gt;=0.70,M262&gt;0),"Yes","No"))</f>
        <v/>
      </c>
      <c r="V262">
        <f>IF(A262="","",IF(AND(S262="Low Movement",M262&gt;0,P262&gt;=2),"Yes","No"))</f>
        <v/>
      </c>
      <c r="W262" s="2">
        <f>IF(T262="","",MIN(0.12,IF(T262="High Value Bundle",0.05,IF(T262="Medium Value Bundle",0.07,0.10))+IF(P262&gt;=8,0.02,0)))</f>
        <v/>
      </c>
      <c r="X262">
        <f>IF(U262="Yes",C262&amp;"|anchor","")</f>
        <v/>
      </c>
      <c r="Y262">
        <f>IF(U262="Yes",B262,"")</f>
        <v/>
      </c>
    </row>
    <row r="263">
      <c r="A263">
        <f>Input_Data!C263</f>
        <v/>
      </c>
      <c r="B263">
        <f>Input_Data!A263</f>
        <v/>
      </c>
      <c r="C263">
        <f>Input_Data!B263</f>
        <v/>
      </c>
      <c r="D263">
        <f>Input_Data!D263</f>
        <v/>
      </c>
      <c r="E263">
        <f>IF(A263="","",SUM(Input_Data!E263:H263))</f>
        <v/>
      </c>
      <c r="F263">
        <f>IF(E263="","",E263/4)</f>
        <v/>
      </c>
      <c r="G263" s="2">
        <f>IF(E263="","",IF(COUNTA($E$2:$E$300)&lt;=1,0,PERCENTRANK.INC($E$2:$E$300,E263)))</f>
        <v/>
      </c>
      <c r="H263" s="2">
        <f>IF(G263="","",1-G263)</f>
        <v/>
      </c>
      <c r="I263" s="2">
        <f>Input_Data!I263</f>
        <v/>
      </c>
      <c r="J263" s="2">
        <f>IF(I263="","",IF(COUNTA($I$2:$I$300)&lt;=1,0,PERCENTRANK.INC($I$2:$I$300,I263)))</f>
        <v/>
      </c>
      <c r="K263">
        <f>Input_Data!J263</f>
        <v/>
      </c>
      <c r="L263">
        <f>Input_Data!K263</f>
        <v/>
      </c>
      <c r="M263">
        <f>Input_Data!L263</f>
        <v/>
      </c>
      <c r="N263">
        <f>IF(K263="","",K263-L263)</f>
        <v/>
      </c>
      <c r="O263">
        <f>IF(A263="","",IF(ABS(M263-N263)&lt;=1,"OK","CHECK"))</f>
        <v/>
      </c>
      <c r="P263">
        <f>IF(M263="","",IF(F263=0,99,M263/F263))</f>
        <v/>
      </c>
      <c r="Q263" s="2">
        <f>IF(P263="","",IF(COUNTA($P$2:$P$300)&lt;=1,0,PERCENTRANK.INC($P$2:$P$300,P263)))</f>
        <v/>
      </c>
      <c r="R263" s="2">
        <f>IF(A263="","",0.45*H263+0.35*Q263+0.20*J263)</f>
        <v/>
      </c>
      <c r="S263">
        <f>IF(G263="","",IF(G263&lt;=0.33,"Low Movement",IF(G263&lt;=0.66,"Medium Movement","High Movement")))</f>
        <v/>
      </c>
      <c r="T263">
        <f>IF(R263="","",IF(R263&gt;=0.67,"High Value Bundle",IF(R263&gt;=0.34,"Medium Value Bundle","Low Value Bundle")))</f>
        <v/>
      </c>
      <c r="U263">
        <f>IF(A263="","",IF(AND(G263&gt;=0.70,J263&gt;=0.70,M263&gt;0),"Yes","No"))</f>
        <v/>
      </c>
      <c r="V263">
        <f>IF(A263="","",IF(AND(S263="Low Movement",M263&gt;0,P263&gt;=2),"Yes","No"))</f>
        <v/>
      </c>
      <c r="W263" s="2">
        <f>IF(T263="","",MIN(0.12,IF(T263="High Value Bundle",0.05,IF(T263="Medium Value Bundle",0.07,0.10))+IF(P263&gt;=8,0.02,0)))</f>
        <v/>
      </c>
      <c r="X263">
        <f>IF(U263="Yes",C263&amp;"|anchor","")</f>
        <v/>
      </c>
      <c r="Y263">
        <f>IF(U263="Yes",B263,"")</f>
        <v/>
      </c>
    </row>
    <row r="264">
      <c r="A264">
        <f>Input_Data!C264</f>
        <v/>
      </c>
      <c r="B264">
        <f>Input_Data!A264</f>
        <v/>
      </c>
      <c r="C264">
        <f>Input_Data!B264</f>
        <v/>
      </c>
      <c r="D264">
        <f>Input_Data!D264</f>
        <v/>
      </c>
      <c r="E264">
        <f>IF(A264="","",SUM(Input_Data!E264:H264))</f>
        <v/>
      </c>
      <c r="F264">
        <f>IF(E264="","",E264/4)</f>
        <v/>
      </c>
      <c r="G264" s="2">
        <f>IF(E264="","",IF(COUNTA($E$2:$E$300)&lt;=1,0,PERCENTRANK.INC($E$2:$E$300,E264)))</f>
        <v/>
      </c>
      <c r="H264" s="2">
        <f>IF(G264="","",1-G264)</f>
        <v/>
      </c>
      <c r="I264" s="2">
        <f>Input_Data!I264</f>
        <v/>
      </c>
      <c r="J264" s="2">
        <f>IF(I264="","",IF(COUNTA($I$2:$I$300)&lt;=1,0,PERCENTRANK.INC($I$2:$I$300,I264)))</f>
        <v/>
      </c>
      <c r="K264">
        <f>Input_Data!J264</f>
        <v/>
      </c>
      <c r="L264">
        <f>Input_Data!K264</f>
        <v/>
      </c>
      <c r="M264">
        <f>Input_Data!L264</f>
        <v/>
      </c>
      <c r="N264">
        <f>IF(K264="","",K264-L264)</f>
        <v/>
      </c>
      <c r="O264">
        <f>IF(A264="","",IF(ABS(M264-N264)&lt;=1,"OK","CHECK"))</f>
        <v/>
      </c>
      <c r="P264">
        <f>IF(M264="","",IF(F264=0,99,M264/F264))</f>
        <v/>
      </c>
      <c r="Q264" s="2">
        <f>IF(P264="","",IF(COUNTA($P$2:$P$300)&lt;=1,0,PERCENTRANK.INC($P$2:$P$300,P264)))</f>
        <v/>
      </c>
      <c r="R264" s="2">
        <f>IF(A264="","",0.45*H264+0.35*Q264+0.20*J264)</f>
        <v/>
      </c>
      <c r="S264">
        <f>IF(G264="","",IF(G264&lt;=0.33,"Low Movement",IF(G264&lt;=0.66,"Medium Movement","High Movement")))</f>
        <v/>
      </c>
      <c r="T264">
        <f>IF(R264="","",IF(R264&gt;=0.67,"High Value Bundle",IF(R264&gt;=0.34,"Medium Value Bundle","Low Value Bundle")))</f>
        <v/>
      </c>
      <c r="U264">
        <f>IF(A264="","",IF(AND(G264&gt;=0.70,J264&gt;=0.70,M264&gt;0),"Yes","No"))</f>
        <v/>
      </c>
      <c r="V264">
        <f>IF(A264="","",IF(AND(S264="Low Movement",M264&gt;0,P264&gt;=2),"Yes","No"))</f>
        <v/>
      </c>
      <c r="W264" s="2">
        <f>IF(T264="","",MIN(0.12,IF(T264="High Value Bundle",0.05,IF(T264="Medium Value Bundle",0.07,0.10))+IF(P264&gt;=8,0.02,0)))</f>
        <v/>
      </c>
      <c r="X264">
        <f>IF(U264="Yes",C264&amp;"|anchor","")</f>
        <v/>
      </c>
      <c r="Y264">
        <f>IF(U264="Yes",B264,"")</f>
        <v/>
      </c>
    </row>
    <row r="265">
      <c r="A265">
        <f>Input_Data!C265</f>
        <v/>
      </c>
      <c r="B265">
        <f>Input_Data!A265</f>
        <v/>
      </c>
      <c r="C265">
        <f>Input_Data!B265</f>
        <v/>
      </c>
      <c r="D265">
        <f>Input_Data!D265</f>
        <v/>
      </c>
      <c r="E265">
        <f>IF(A265="","",SUM(Input_Data!E265:H265))</f>
        <v/>
      </c>
      <c r="F265">
        <f>IF(E265="","",E265/4)</f>
        <v/>
      </c>
      <c r="G265" s="2">
        <f>IF(E265="","",IF(COUNTA($E$2:$E$300)&lt;=1,0,PERCENTRANK.INC($E$2:$E$300,E265)))</f>
        <v/>
      </c>
      <c r="H265" s="2">
        <f>IF(G265="","",1-G265)</f>
        <v/>
      </c>
      <c r="I265" s="2">
        <f>Input_Data!I265</f>
        <v/>
      </c>
      <c r="J265" s="2">
        <f>IF(I265="","",IF(COUNTA($I$2:$I$300)&lt;=1,0,PERCENTRANK.INC($I$2:$I$300,I265)))</f>
        <v/>
      </c>
      <c r="K265">
        <f>Input_Data!J265</f>
        <v/>
      </c>
      <c r="L265">
        <f>Input_Data!K265</f>
        <v/>
      </c>
      <c r="M265">
        <f>Input_Data!L265</f>
        <v/>
      </c>
      <c r="N265">
        <f>IF(K265="","",K265-L265)</f>
        <v/>
      </c>
      <c r="O265">
        <f>IF(A265="","",IF(ABS(M265-N265)&lt;=1,"OK","CHECK"))</f>
        <v/>
      </c>
      <c r="P265">
        <f>IF(M265="","",IF(F265=0,99,M265/F265))</f>
        <v/>
      </c>
      <c r="Q265" s="2">
        <f>IF(P265="","",IF(COUNTA($P$2:$P$300)&lt;=1,0,PERCENTRANK.INC($P$2:$P$300,P265)))</f>
        <v/>
      </c>
      <c r="R265" s="2">
        <f>IF(A265="","",0.45*H265+0.35*Q265+0.20*J265)</f>
        <v/>
      </c>
      <c r="S265">
        <f>IF(G265="","",IF(G265&lt;=0.33,"Low Movement",IF(G265&lt;=0.66,"Medium Movement","High Movement")))</f>
        <v/>
      </c>
      <c r="T265">
        <f>IF(R265="","",IF(R265&gt;=0.67,"High Value Bundle",IF(R265&gt;=0.34,"Medium Value Bundle","Low Value Bundle")))</f>
        <v/>
      </c>
      <c r="U265">
        <f>IF(A265="","",IF(AND(G265&gt;=0.70,J265&gt;=0.70,M265&gt;0),"Yes","No"))</f>
        <v/>
      </c>
      <c r="V265">
        <f>IF(A265="","",IF(AND(S265="Low Movement",M265&gt;0,P265&gt;=2),"Yes","No"))</f>
        <v/>
      </c>
      <c r="W265" s="2">
        <f>IF(T265="","",MIN(0.12,IF(T265="High Value Bundle",0.05,IF(T265="Medium Value Bundle",0.07,0.10))+IF(P265&gt;=8,0.02,0)))</f>
        <v/>
      </c>
      <c r="X265">
        <f>IF(U265="Yes",C265&amp;"|anchor","")</f>
        <v/>
      </c>
      <c r="Y265">
        <f>IF(U265="Yes",B265,"")</f>
        <v/>
      </c>
    </row>
    <row r="266">
      <c r="A266">
        <f>Input_Data!C266</f>
        <v/>
      </c>
      <c r="B266">
        <f>Input_Data!A266</f>
        <v/>
      </c>
      <c r="C266">
        <f>Input_Data!B266</f>
        <v/>
      </c>
      <c r="D266">
        <f>Input_Data!D266</f>
        <v/>
      </c>
      <c r="E266">
        <f>IF(A266="","",SUM(Input_Data!E266:H266))</f>
        <v/>
      </c>
      <c r="F266">
        <f>IF(E266="","",E266/4)</f>
        <v/>
      </c>
      <c r="G266" s="2">
        <f>IF(E266="","",IF(COUNTA($E$2:$E$300)&lt;=1,0,PERCENTRANK.INC($E$2:$E$300,E266)))</f>
        <v/>
      </c>
      <c r="H266" s="2">
        <f>IF(G266="","",1-G266)</f>
        <v/>
      </c>
      <c r="I266" s="2">
        <f>Input_Data!I266</f>
        <v/>
      </c>
      <c r="J266" s="2">
        <f>IF(I266="","",IF(COUNTA($I$2:$I$300)&lt;=1,0,PERCENTRANK.INC($I$2:$I$300,I266)))</f>
        <v/>
      </c>
      <c r="K266">
        <f>Input_Data!J266</f>
        <v/>
      </c>
      <c r="L266">
        <f>Input_Data!K266</f>
        <v/>
      </c>
      <c r="M266">
        <f>Input_Data!L266</f>
        <v/>
      </c>
      <c r="N266">
        <f>IF(K266="","",K266-L266)</f>
        <v/>
      </c>
      <c r="O266">
        <f>IF(A266="","",IF(ABS(M266-N266)&lt;=1,"OK","CHECK"))</f>
        <v/>
      </c>
      <c r="P266">
        <f>IF(M266="","",IF(F266=0,99,M266/F266))</f>
        <v/>
      </c>
      <c r="Q266" s="2">
        <f>IF(P266="","",IF(COUNTA($P$2:$P$300)&lt;=1,0,PERCENTRANK.INC($P$2:$P$300,P266)))</f>
        <v/>
      </c>
      <c r="R266" s="2">
        <f>IF(A266="","",0.45*H266+0.35*Q266+0.20*J266)</f>
        <v/>
      </c>
      <c r="S266">
        <f>IF(G266="","",IF(G266&lt;=0.33,"Low Movement",IF(G266&lt;=0.66,"Medium Movement","High Movement")))</f>
        <v/>
      </c>
      <c r="T266">
        <f>IF(R266="","",IF(R266&gt;=0.67,"High Value Bundle",IF(R266&gt;=0.34,"Medium Value Bundle","Low Value Bundle")))</f>
        <v/>
      </c>
      <c r="U266">
        <f>IF(A266="","",IF(AND(G266&gt;=0.70,J266&gt;=0.70,M266&gt;0),"Yes","No"))</f>
        <v/>
      </c>
      <c r="V266">
        <f>IF(A266="","",IF(AND(S266="Low Movement",M266&gt;0,P266&gt;=2),"Yes","No"))</f>
        <v/>
      </c>
      <c r="W266" s="2">
        <f>IF(T266="","",MIN(0.12,IF(T266="High Value Bundle",0.05,IF(T266="Medium Value Bundle",0.07,0.10))+IF(P266&gt;=8,0.02,0)))</f>
        <v/>
      </c>
      <c r="X266">
        <f>IF(U266="Yes",C266&amp;"|anchor","")</f>
        <v/>
      </c>
      <c r="Y266">
        <f>IF(U266="Yes",B266,"")</f>
        <v/>
      </c>
    </row>
    <row r="267">
      <c r="A267">
        <f>Input_Data!C267</f>
        <v/>
      </c>
      <c r="B267">
        <f>Input_Data!A267</f>
        <v/>
      </c>
      <c r="C267">
        <f>Input_Data!B267</f>
        <v/>
      </c>
      <c r="D267">
        <f>Input_Data!D267</f>
        <v/>
      </c>
      <c r="E267">
        <f>IF(A267="","",SUM(Input_Data!E267:H267))</f>
        <v/>
      </c>
      <c r="F267">
        <f>IF(E267="","",E267/4)</f>
        <v/>
      </c>
      <c r="G267" s="2">
        <f>IF(E267="","",IF(COUNTA($E$2:$E$300)&lt;=1,0,PERCENTRANK.INC($E$2:$E$300,E267)))</f>
        <v/>
      </c>
      <c r="H267" s="2">
        <f>IF(G267="","",1-G267)</f>
        <v/>
      </c>
      <c r="I267" s="2">
        <f>Input_Data!I267</f>
        <v/>
      </c>
      <c r="J267" s="2">
        <f>IF(I267="","",IF(COUNTA($I$2:$I$300)&lt;=1,0,PERCENTRANK.INC($I$2:$I$300,I267)))</f>
        <v/>
      </c>
      <c r="K267">
        <f>Input_Data!J267</f>
        <v/>
      </c>
      <c r="L267">
        <f>Input_Data!K267</f>
        <v/>
      </c>
      <c r="M267">
        <f>Input_Data!L267</f>
        <v/>
      </c>
      <c r="N267">
        <f>IF(K267="","",K267-L267)</f>
        <v/>
      </c>
      <c r="O267">
        <f>IF(A267="","",IF(ABS(M267-N267)&lt;=1,"OK","CHECK"))</f>
        <v/>
      </c>
      <c r="P267">
        <f>IF(M267="","",IF(F267=0,99,M267/F267))</f>
        <v/>
      </c>
      <c r="Q267" s="2">
        <f>IF(P267="","",IF(COUNTA($P$2:$P$300)&lt;=1,0,PERCENTRANK.INC($P$2:$P$300,P267)))</f>
        <v/>
      </c>
      <c r="R267" s="2">
        <f>IF(A267="","",0.45*H267+0.35*Q267+0.20*J267)</f>
        <v/>
      </c>
      <c r="S267">
        <f>IF(G267="","",IF(G267&lt;=0.33,"Low Movement",IF(G267&lt;=0.66,"Medium Movement","High Movement")))</f>
        <v/>
      </c>
      <c r="T267">
        <f>IF(R267="","",IF(R267&gt;=0.67,"High Value Bundle",IF(R267&gt;=0.34,"Medium Value Bundle","Low Value Bundle")))</f>
        <v/>
      </c>
      <c r="U267">
        <f>IF(A267="","",IF(AND(G267&gt;=0.70,J267&gt;=0.70,M267&gt;0),"Yes","No"))</f>
        <v/>
      </c>
      <c r="V267">
        <f>IF(A267="","",IF(AND(S267="Low Movement",M267&gt;0,P267&gt;=2),"Yes","No"))</f>
        <v/>
      </c>
      <c r="W267" s="2">
        <f>IF(T267="","",MIN(0.12,IF(T267="High Value Bundle",0.05,IF(T267="Medium Value Bundle",0.07,0.10))+IF(P267&gt;=8,0.02,0)))</f>
        <v/>
      </c>
      <c r="X267">
        <f>IF(U267="Yes",C267&amp;"|anchor","")</f>
        <v/>
      </c>
      <c r="Y267">
        <f>IF(U267="Yes",B267,"")</f>
        <v/>
      </c>
    </row>
    <row r="268">
      <c r="A268">
        <f>Input_Data!C268</f>
        <v/>
      </c>
      <c r="B268">
        <f>Input_Data!A268</f>
        <v/>
      </c>
      <c r="C268">
        <f>Input_Data!B268</f>
        <v/>
      </c>
      <c r="D268">
        <f>Input_Data!D268</f>
        <v/>
      </c>
      <c r="E268">
        <f>IF(A268="","",SUM(Input_Data!E268:H268))</f>
        <v/>
      </c>
      <c r="F268">
        <f>IF(E268="","",E268/4)</f>
        <v/>
      </c>
      <c r="G268" s="2">
        <f>IF(E268="","",IF(COUNTA($E$2:$E$300)&lt;=1,0,PERCENTRANK.INC($E$2:$E$300,E268)))</f>
        <v/>
      </c>
      <c r="H268" s="2">
        <f>IF(G268="","",1-G268)</f>
        <v/>
      </c>
      <c r="I268" s="2">
        <f>Input_Data!I268</f>
        <v/>
      </c>
      <c r="J268" s="2">
        <f>IF(I268="","",IF(COUNTA($I$2:$I$300)&lt;=1,0,PERCENTRANK.INC($I$2:$I$300,I268)))</f>
        <v/>
      </c>
      <c r="K268">
        <f>Input_Data!J268</f>
        <v/>
      </c>
      <c r="L268">
        <f>Input_Data!K268</f>
        <v/>
      </c>
      <c r="M268">
        <f>Input_Data!L268</f>
        <v/>
      </c>
      <c r="N268">
        <f>IF(K268="","",K268-L268)</f>
        <v/>
      </c>
      <c r="O268">
        <f>IF(A268="","",IF(ABS(M268-N268)&lt;=1,"OK","CHECK"))</f>
        <v/>
      </c>
      <c r="P268">
        <f>IF(M268="","",IF(F268=0,99,M268/F268))</f>
        <v/>
      </c>
      <c r="Q268" s="2">
        <f>IF(P268="","",IF(COUNTA($P$2:$P$300)&lt;=1,0,PERCENTRANK.INC($P$2:$P$300,P268)))</f>
        <v/>
      </c>
      <c r="R268" s="2">
        <f>IF(A268="","",0.45*H268+0.35*Q268+0.20*J268)</f>
        <v/>
      </c>
      <c r="S268">
        <f>IF(G268="","",IF(G268&lt;=0.33,"Low Movement",IF(G268&lt;=0.66,"Medium Movement","High Movement")))</f>
        <v/>
      </c>
      <c r="T268">
        <f>IF(R268="","",IF(R268&gt;=0.67,"High Value Bundle",IF(R268&gt;=0.34,"Medium Value Bundle","Low Value Bundle")))</f>
        <v/>
      </c>
      <c r="U268">
        <f>IF(A268="","",IF(AND(G268&gt;=0.70,J268&gt;=0.70,M268&gt;0),"Yes","No"))</f>
        <v/>
      </c>
      <c r="V268">
        <f>IF(A268="","",IF(AND(S268="Low Movement",M268&gt;0,P268&gt;=2),"Yes","No"))</f>
        <v/>
      </c>
      <c r="W268" s="2">
        <f>IF(T268="","",MIN(0.12,IF(T268="High Value Bundle",0.05,IF(T268="Medium Value Bundle",0.07,0.10))+IF(P268&gt;=8,0.02,0)))</f>
        <v/>
      </c>
      <c r="X268">
        <f>IF(U268="Yes",C268&amp;"|anchor","")</f>
        <v/>
      </c>
      <c r="Y268">
        <f>IF(U268="Yes",B268,"")</f>
        <v/>
      </c>
    </row>
    <row r="269">
      <c r="A269">
        <f>Input_Data!C269</f>
        <v/>
      </c>
      <c r="B269">
        <f>Input_Data!A269</f>
        <v/>
      </c>
      <c r="C269">
        <f>Input_Data!B269</f>
        <v/>
      </c>
      <c r="D269">
        <f>Input_Data!D269</f>
        <v/>
      </c>
      <c r="E269">
        <f>IF(A269="","",SUM(Input_Data!E269:H269))</f>
        <v/>
      </c>
      <c r="F269">
        <f>IF(E269="","",E269/4)</f>
        <v/>
      </c>
      <c r="G269" s="2">
        <f>IF(E269="","",IF(COUNTA($E$2:$E$300)&lt;=1,0,PERCENTRANK.INC($E$2:$E$300,E269)))</f>
        <v/>
      </c>
      <c r="H269" s="2">
        <f>IF(G269="","",1-G269)</f>
        <v/>
      </c>
      <c r="I269" s="2">
        <f>Input_Data!I269</f>
        <v/>
      </c>
      <c r="J269" s="2">
        <f>IF(I269="","",IF(COUNTA($I$2:$I$300)&lt;=1,0,PERCENTRANK.INC($I$2:$I$300,I269)))</f>
        <v/>
      </c>
      <c r="K269">
        <f>Input_Data!J269</f>
        <v/>
      </c>
      <c r="L269">
        <f>Input_Data!K269</f>
        <v/>
      </c>
      <c r="M269">
        <f>Input_Data!L269</f>
        <v/>
      </c>
      <c r="N269">
        <f>IF(K269="","",K269-L269)</f>
        <v/>
      </c>
      <c r="O269">
        <f>IF(A269="","",IF(ABS(M269-N269)&lt;=1,"OK","CHECK"))</f>
        <v/>
      </c>
      <c r="P269">
        <f>IF(M269="","",IF(F269=0,99,M269/F269))</f>
        <v/>
      </c>
      <c r="Q269" s="2">
        <f>IF(P269="","",IF(COUNTA($P$2:$P$300)&lt;=1,0,PERCENTRANK.INC($P$2:$P$300,P269)))</f>
        <v/>
      </c>
      <c r="R269" s="2">
        <f>IF(A269="","",0.45*H269+0.35*Q269+0.20*J269)</f>
        <v/>
      </c>
      <c r="S269">
        <f>IF(G269="","",IF(G269&lt;=0.33,"Low Movement",IF(G269&lt;=0.66,"Medium Movement","High Movement")))</f>
        <v/>
      </c>
      <c r="T269">
        <f>IF(R269="","",IF(R269&gt;=0.67,"High Value Bundle",IF(R269&gt;=0.34,"Medium Value Bundle","Low Value Bundle")))</f>
        <v/>
      </c>
      <c r="U269">
        <f>IF(A269="","",IF(AND(G269&gt;=0.70,J269&gt;=0.70,M269&gt;0),"Yes","No"))</f>
        <v/>
      </c>
      <c r="V269">
        <f>IF(A269="","",IF(AND(S269="Low Movement",M269&gt;0,P269&gt;=2),"Yes","No"))</f>
        <v/>
      </c>
      <c r="W269" s="2">
        <f>IF(T269="","",MIN(0.12,IF(T269="High Value Bundle",0.05,IF(T269="Medium Value Bundle",0.07,0.10))+IF(P269&gt;=8,0.02,0)))</f>
        <v/>
      </c>
      <c r="X269">
        <f>IF(U269="Yes",C269&amp;"|anchor","")</f>
        <v/>
      </c>
      <c r="Y269">
        <f>IF(U269="Yes",B269,"")</f>
        <v/>
      </c>
    </row>
    <row r="270">
      <c r="A270">
        <f>Input_Data!C270</f>
        <v/>
      </c>
      <c r="B270">
        <f>Input_Data!A270</f>
        <v/>
      </c>
      <c r="C270">
        <f>Input_Data!B270</f>
        <v/>
      </c>
      <c r="D270">
        <f>Input_Data!D270</f>
        <v/>
      </c>
      <c r="E270">
        <f>IF(A270="","",SUM(Input_Data!E270:H270))</f>
        <v/>
      </c>
      <c r="F270">
        <f>IF(E270="","",E270/4)</f>
        <v/>
      </c>
      <c r="G270" s="2">
        <f>IF(E270="","",IF(COUNTA($E$2:$E$300)&lt;=1,0,PERCENTRANK.INC($E$2:$E$300,E270)))</f>
        <v/>
      </c>
      <c r="H270" s="2">
        <f>IF(G270="","",1-G270)</f>
        <v/>
      </c>
      <c r="I270" s="2">
        <f>Input_Data!I270</f>
        <v/>
      </c>
      <c r="J270" s="2">
        <f>IF(I270="","",IF(COUNTA($I$2:$I$300)&lt;=1,0,PERCENTRANK.INC($I$2:$I$300,I270)))</f>
        <v/>
      </c>
      <c r="K270">
        <f>Input_Data!J270</f>
        <v/>
      </c>
      <c r="L270">
        <f>Input_Data!K270</f>
        <v/>
      </c>
      <c r="M270">
        <f>Input_Data!L270</f>
        <v/>
      </c>
      <c r="N270">
        <f>IF(K270="","",K270-L270)</f>
        <v/>
      </c>
      <c r="O270">
        <f>IF(A270="","",IF(ABS(M270-N270)&lt;=1,"OK","CHECK"))</f>
        <v/>
      </c>
      <c r="P270">
        <f>IF(M270="","",IF(F270=0,99,M270/F270))</f>
        <v/>
      </c>
      <c r="Q270" s="2">
        <f>IF(P270="","",IF(COUNTA($P$2:$P$300)&lt;=1,0,PERCENTRANK.INC($P$2:$P$300,P270)))</f>
        <v/>
      </c>
      <c r="R270" s="2">
        <f>IF(A270="","",0.45*H270+0.35*Q270+0.20*J270)</f>
        <v/>
      </c>
      <c r="S270">
        <f>IF(G270="","",IF(G270&lt;=0.33,"Low Movement",IF(G270&lt;=0.66,"Medium Movement","High Movement")))</f>
        <v/>
      </c>
      <c r="T270">
        <f>IF(R270="","",IF(R270&gt;=0.67,"High Value Bundle",IF(R270&gt;=0.34,"Medium Value Bundle","Low Value Bundle")))</f>
        <v/>
      </c>
      <c r="U270">
        <f>IF(A270="","",IF(AND(G270&gt;=0.70,J270&gt;=0.70,M270&gt;0),"Yes","No"))</f>
        <v/>
      </c>
      <c r="V270">
        <f>IF(A270="","",IF(AND(S270="Low Movement",M270&gt;0,P270&gt;=2),"Yes","No"))</f>
        <v/>
      </c>
      <c r="W270" s="2">
        <f>IF(T270="","",MIN(0.12,IF(T270="High Value Bundle",0.05,IF(T270="Medium Value Bundle",0.07,0.10))+IF(P270&gt;=8,0.02,0)))</f>
        <v/>
      </c>
      <c r="X270">
        <f>IF(U270="Yes",C270&amp;"|anchor","")</f>
        <v/>
      </c>
      <c r="Y270">
        <f>IF(U270="Yes",B270,"")</f>
        <v/>
      </c>
    </row>
    <row r="271">
      <c r="A271">
        <f>Input_Data!C271</f>
        <v/>
      </c>
      <c r="B271">
        <f>Input_Data!A271</f>
        <v/>
      </c>
      <c r="C271">
        <f>Input_Data!B271</f>
        <v/>
      </c>
      <c r="D271">
        <f>Input_Data!D271</f>
        <v/>
      </c>
      <c r="E271">
        <f>IF(A271="","",SUM(Input_Data!E271:H271))</f>
        <v/>
      </c>
      <c r="F271">
        <f>IF(E271="","",E271/4)</f>
        <v/>
      </c>
      <c r="G271" s="2">
        <f>IF(E271="","",IF(COUNTA($E$2:$E$300)&lt;=1,0,PERCENTRANK.INC($E$2:$E$300,E271)))</f>
        <v/>
      </c>
      <c r="H271" s="2">
        <f>IF(G271="","",1-G271)</f>
        <v/>
      </c>
      <c r="I271" s="2">
        <f>Input_Data!I271</f>
        <v/>
      </c>
      <c r="J271" s="2">
        <f>IF(I271="","",IF(COUNTA($I$2:$I$300)&lt;=1,0,PERCENTRANK.INC($I$2:$I$300,I271)))</f>
        <v/>
      </c>
      <c r="K271">
        <f>Input_Data!J271</f>
        <v/>
      </c>
      <c r="L271">
        <f>Input_Data!K271</f>
        <v/>
      </c>
      <c r="M271">
        <f>Input_Data!L271</f>
        <v/>
      </c>
      <c r="N271">
        <f>IF(K271="","",K271-L271)</f>
        <v/>
      </c>
      <c r="O271">
        <f>IF(A271="","",IF(ABS(M271-N271)&lt;=1,"OK","CHECK"))</f>
        <v/>
      </c>
      <c r="P271">
        <f>IF(M271="","",IF(F271=0,99,M271/F271))</f>
        <v/>
      </c>
      <c r="Q271" s="2">
        <f>IF(P271="","",IF(COUNTA($P$2:$P$300)&lt;=1,0,PERCENTRANK.INC($P$2:$P$300,P271)))</f>
        <v/>
      </c>
      <c r="R271" s="2">
        <f>IF(A271="","",0.45*H271+0.35*Q271+0.20*J271)</f>
        <v/>
      </c>
      <c r="S271">
        <f>IF(G271="","",IF(G271&lt;=0.33,"Low Movement",IF(G271&lt;=0.66,"Medium Movement","High Movement")))</f>
        <v/>
      </c>
      <c r="T271">
        <f>IF(R271="","",IF(R271&gt;=0.67,"High Value Bundle",IF(R271&gt;=0.34,"Medium Value Bundle","Low Value Bundle")))</f>
        <v/>
      </c>
      <c r="U271">
        <f>IF(A271="","",IF(AND(G271&gt;=0.70,J271&gt;=0.70,M271&gt;0),"Yes","No"))</f>
        <v/>
      </c>
      <c r="V271">
        <f>IF(A271="","",IF(AND(S271="Low Movement",M271&gt;0,P271&gt;=2),"Yes","No"))</f>
        <v/>
      </c>
      <c r="W271" s="2">
        <f>IF(T271="","",MIN(0.12,IF(T271="High Value Bundle",0.05,IF(T271="Medium Value Bundle",0.07,0.10))+IF(P271&gt;=8,0.02,0)))</f>
        <v/>
      </c>
      <c r="X271">
        <f>IF(U271="Yes",C271&amp;"|anchor","")</f>
        <v/>
      </c>
      <c r="Y271">
        <f>IF(U271="Yes",B271,"")</f>
        <v/>
      </c>
    </row>
    <row r="272">
      <c r="A272">
        <f>Input_Data!C272</f>
        <v/>
      </c>
      <c r="B272">
        <f>Input_Data!A272</f>
        <v/>
      </c>
      <c r="C272">
        <f>Input_Data!B272</f>
        <v/>
      </c>
      <c r="D272">
        <f>Input_Data!D272</f>
        <v/>
      </c>
      <c r="E272">
        <f>IF(A272="","",SUM(Input_Data!E272:H272))</f>
        <v/>
      </c>
      <c r="F272">
        <f>IF(E272="","",E272/4)</f>
        <v/>
      </c>
      <c r="G272" s="2">
        <f>IF(E272="","",IF(COUNTA($E$2:$E$300)&lt;=1,0,PERCENTRANK.INC($E$2:$E$300,E272)))</f>
        <v/>
      </c>
      <c r="H272" s="2">
        <f>IF(G272="","",1-G272)</f>
        <v/>
      </c>
      <c r="I272" s="2">
        <f>Input_Data!I272</f>
        <v/>
      </c>
      <c r="J272" s="2">
        <f>IF(I272="","",IF(COUNTA($I$2:$I$300)&lt;=1,0,PERCENTRANK.INC($I$2:$I$300,I272)))</f>
        <v/>
      </c>
      <c r="K272">
        <f>Input_Data!J272</f>
        <v/>
      </c>
      <c r="L272">
        <f>Input_Data!K272</f>
        <v/>
      </c>
      <c r="M272">
        <f>Input_Data!L272</f>
        <v/>
      </c>
      <c r="N272">
        <f>IF(K272="","",K272-L272)</f>
        <v/>
      </c>
      <c r="O272">
        <f>IF(A272="","",IF(ABS(M272-N272)&lt;=1,"OK","CHECK"))</f>
        <v/>
      </c>
      <c r="P272">
        <f>IF(M272="","",IF(F272=0,99,M272/F272))</f>
        <v/>
      </c>
      <c r="Q272" s="2">
        <f>IF(P272="","",IF(COUNTA($P$2:$P$300)&lt;=1,0,PERCENTRANK.INC($P$2:$P$300,P272)))</f>
        <v/>
      </c>
      <c r="R272" s="2">
        <f>IF(A272="","",0.45*H272+0.35*Q272+0.20*J272)</f>
        <v/>
      </c>
      <c r="S272">
        <f>IF(G272="","",IF(G272&lt;=0.33,"Low Movement",IF(G272&lt;=0.66,"Medium Movement","High Movement")))</f>
        <v/>
      </c>
      <c r="T272">
        <f>IF(R272="","",IF(R272&gt;=0.67,"High Value Bundle",IF(R272&gt;=0.34,"Medium Value Bundle","Low Value Bundle")))</f>
        <v/>
      </c>
      <c r="U272">
        <f>IF(A272="","",IF(AND(G272&gt;=0.70,J272&gt;=0.70,M272&gt;0),"Yes","No"))</f>
        <v/>
      </c>
      <c r="V272">
        <f>IF(A272="","",IF(AND(S272="Low Movement",M272&gt;0,P272&gt;=2),"Yes","No"))</f>
        <v/>
      </c>
      <c r="W272" s="2">
        <f>IF(T272="","",MIN(0.12,IF(T272="High Value Bundle",0.05,IF(T272="Medium Value Bundle",0.07,0.10))+IF(P272&gt;=8,0.02,0)))</f>
        <v/>
      </c>
      <c r="X272">
        <f>IF(U272="Yes",C272&amp;"|anchor","")</f>
        <v/>
      </c>
      <c r="Y272">
        <f>IF(U272="Yes",B272,"")</f>
        <v/>
      </c>
    </row>
    <row r="273">
      <c r="A273">
        <f>Input_Data!C273</f>
        <v/>
      </c>
      <c r="B273">
        <f>Input_Data!A273</f>
        <v/>
      </c>
      <c r="C273">
        <f>Input_Data!B273</f>
        <v/>
      </c>
      <c r="D273">
        <f>Input_Data!D273</f>
        <v/>
      </c>
      <c r="E273">
        <f>IF(A273="","",SUM(Input_Data!E273:H273))</f>
        <v/>
      </c>
      <c r="F273">
        <f>IF(E273="","",E273/4)</f>
        <v/>
      </c>
      <c r="G273" s="2">
        <f>IF(E273="","",IF(COUNTA($E$2:$E$300)&lt;=1,0,PERCENTRANK.INC($E$2:$E$300,E273)))</f>
        <v/>
      </c>
      <c r="H273" s="2">
        <f>IF(G273="","",1-G273)</f>
        <v/>
      </c>
      <c r="I273" s="2">
        <f>Input_Data!I273</f>
        <v/>
      </c>
      <c r="J273" s="2">
        <f>IF(I273="","",IF(COUNTA($I$2:$I$300)&lt;=1,0,PERCENTRANK.INC($I$2:$I$300,I273)))</f>
        <v/>
      </c>
      <c r="K273">
        <f>Input_Data!J273</f>
        <v/>
      </c>
      <c r="L273">
        <f>Input_Data!K273</f>
        <v/>
      </c>
      <c r="M273">
        <f>Input_Data!L273</f>
        <v/>
      </c>
      <c r="N273">
        <f>IF(K273="","",K273-L273)</f>
        <v/>
      </c>
      <c r="O273">
        <f>IF(A273="","",IF(ABS(M273-N273)&lt;=1,"OK","CHECK"))</f>
        <v/>
      </c>
      <c r="P273">
        <f>IF(M273="","",IF(F273=0,99,M273/F273))</f>
        <v/>
      </c>
      <c r="Q273" s="2">
        <f>IF(P273="","",IF(COUNTA($P$2:$P$300)&lt;=1,0,PERCENTRANK.INC($P$2:$P$300,P273)))</f>
        <v/>
      </c>
      <c r="R273" s="2">
        <f>IF(A273="","",0.45*H273+0.35*Q273+0.20*J273)</f>
        <v/>
      </c>
      <c r="S273">
        <f>IF(G273="","",IF(G273&lt;=0.33,"Low Movement",IF(G273&lt;=0.66,"Medium Movement","High Movement")))</f>
        <v/>
      </c>
      <c r="T273">
        <f>IF(R273="","",IF(R273&gt;=0.67,"High Value Bundle",IF(R273&gt;=0.34,"Medium Value Bundle","Low Value Bundle")))</f>
        <v/>
      </c>
      <c r="U273">
        <f>IF(A273="","",IF(AND(G273&gt;=0.70,J273&gt;=0.70,M273&gt;0),"Yes","No"))</f>
        <v/>
      </c>
      <c r="V273">
        <f>IF(A273="","",IF(AND(S273="Low Movement",M273&gt;0,P273&gt;=2),"Yes","No"))</f>
        <v/>
      </c>
      <c r="W273" s="2">
        <f>IF(T273="","",MIN(0.12,IF(T273="High Value Bundle",0.05,IF(T273="Medium Value Bundle",0.07,0.10))+IF(P273&gt;=8,0.02,0)))</f>
        <v/>
      </c>
      <c r="X273">
        <f>IF(U273="Yes",C273&amp;"|anchor","")</f>
        <v/>
      </c>
      <c r="Y273">
        <f>IF(U273="Yes",B273,"")</f>
        <v/>
      </c>
    </row>
    <row r="274">
      <c r="A274">
        <f>Input_Data!C274</f>
        <v/>
      </c>
      <c r="B274">
        <f>Input_Data!A274</f>
        <v/>
      </c>
      <c r="C274">
        <f>Input_Data!B274</f>
        <v/>
      </c>
      <c r="D274">
        <f>Input_Data!D274</f>
        <v/>
      </c>
      <c r="E274">
        <f>IF(A274="","",SUM(Input_Data!E274:H274))</f>
        <v/>
      </c>
      <c r="F274">
        <f>IF(E274="","",E274/4)</f>
        <v/>
      </c>
      <c r="G274" s="2">
        <f>IF(E274="","",IF(COUNTA($E$2:$E$300)&lt;=1,0,PERCENTRANK.INC($E$2:$E$300,E274)))</f>
        <v/>
      </c>
      <c r="H274" s="2">
        <f>IF(G274="","",1-G274)</f>
        <v/>
      </c>
      <c r="I274" s="2">
        <f>Input_Data!I274</f>
        <v/>
      </c>
      <c r="J274" s="2">
        <f>IF(I274="","",IF(COUNTA($I$2:$I$300)&lt;=1,0,PERCENTRANK.INC($I$2:$I$300,I274)))</f>
        <v/>
      </c>
      <c r="K274">
        <f>Input_Data!J274</f>
        <v/>
      </c>
      <c r="L274">
        <f>Input_Data!K274</f>
        <v/>
      </c>
      <c r="M274">
        <f>Input_Data!L274</f>
        <v/>
      </c>
      <c r="N274">
        <f>IF(K274="","",K274-L274)</f>
        <v/>
      </c>
      <c r="O274">
        <f>IF(A274="","",IF(ABS(M274-N274)&lt;=1,"OK","CHECK"))</f>
        <v/>
      </c>
      <c r="P274">
        <f>IF(M274="","",IF(F274=0,99,M274/F274))</f>
        <v/>
      </c>
      <c r="Q274" s="2">
        <f>IF(P274="","",IF(COUNTA($P$2:$P$300)&lt;=1,0,PERCENTRANK.INC($P$2:$P$300,P274)))</f>
        <v/>
      </c>
      <c r="R274" s="2">
        <f>IF(A274="","",0.45*H274+0.35*Q274+0.20*J274)</f>
        <v/>
      </c>
      <c r="S274">
        <f>IF(G274="","",IF(G274&lt;=0.33,"Low Movement",IF(G274&lt;=0.66,"Medium Movement","High Movement")))</f>
        <v/>
      </c>
      <c r="T274">
        <f>IF(R274="","",IF(R274&gt;=0.67,"High Value Bundle",IF(R274&gt;=0.34,"Medium Value Bundle","Low Value Bundle")))</f>
        <v/>
      </c>
      <c r="U274">
        <f>IF(A274="","",IF(AND(G274&gt;=0.70,J274&gt;=0.70,M274&gt;0),"Yes","No"))</f>
        <v/>
      </c>
      <c r="V274">
        <f>IF(A274="","",IF(AND(S274="Low Movement",M274&gt;0,P274&gt;=2),"Yes","No"))</f>
        <v/>
      </c>
      <c r="W274" s="2">
        <f>IF(T274="","",MIN(0.12,IF(T274="High Value Bundle",0.05,IF(T274="Medium Value Bundle",0.07,0.10))+IF(P274&gt;=8,0.02,0)))</f>
        <v/>
      </c>
      <c r="X274">
        <f>IF(U274="Yes",C274&amp;"|anchor","")</f>
        <v/>
      </c>
      <c r="Y274">
        <f>IF(U274="Yes",B274,"")</f>
        <v/>
      </c>
    </row>
    <row r="275">
      <c r="A275">
        <f>Input_Data!C275</f>
        <v/>
      </c>
      <c r="B275">
        <f>Input_Data!A275</f>
        <v/>
      </c>
      <c r="C275">
        <f>Input_Data!B275</f>
        <v/>
      </c>
      <c r="D275">
        <f>Input_Data!D275</f>
        <v/>
      </c>
      <c r="E275">
        <f>IF(A275="","",SUM(Input_Data!E275:H275))</f>
        <v/>
      </c>
      <c r="F275">
        <f>IF(E275="","",E275/4)</f>
        <v/>
      </c>
      <c r="G275" s="2">
        <f>IF(E275="","",IF(COUNTA($E$2:$E$300)&lt;=1,0,PERCENTRANK.INC($E$2:$E$300,E275)))</f>
        <v/>
      </c>
      <c r="H275" s="2">
        <f>IF(G275="","",1-G275)</f>
        <v/>
      </c>
      <c r="I275" s="2">
        <f>Input_Data!I275</f>
        <v/>
      </c>
      <c r="J275" s="2">
        <f>IF(I275="","",IF(COUNTA($I$2:$I$300)&lt;=1,0,PERCENTRANK.INC($I$2:$I$300,I275)))</f>
        <v/>
      </c>
      <c r="K275">
        <f>Input_Data!J275</f>
        <v/>
      </c>
      <c r="L275">
        <f>Input_Data!K275</f>
        <v/>
      </c>
      <c r="M275">
        <f>Input_Data!L275</f>
        <v/>
      </c>
      <c r="N275">
        <f>IF(K275="","",K275-L275)</f>
        <v/>
      </c>
      <c r="O275">
        <f>IF(A275="","",IF(ABS(M275-N275)&lt;=1,"OK","CHECK"))</f>
        <v/>
      </c>
      <c r="P275">
        <f>IF(M275="","",IF(F275=0,99,M275/F275))</f>
        <v/>
      </c>
      <c r="Q275" s="2">
        <f>IF(P275="","",IF(COUNTA($P$2:$P$300)&lt;=1,0,PERCENTRANK.INC($P$2:$P$300,P275)))</f>
        <v/>
      </c>
      <c r="R275" s="2">
        <f>IF(A275="","",0.45*H275+0.35*Q275+0.20*J275)</f>
        <v/>
      </c>
      <c r="S275">
        <f>IF(G275="","",IF(G275&lt;=0.33,"Low Movement",IF(G275&lt;=0.66,"Medium Movement","High Movement")))</f>
        <v/>
      </c>
      <c r="T275">
        <f>IF(R275="","",IF(R275&gt;=0.67,"High Value Bundle",IF(R275&gt;=0.34,"Medium Value Bundle","Low Value Bundle")))</f>
        <v/>
      </c>
      <c r="U275">
        <f>IF(A275="","",IF(AND(G275&gt;=0.70,J275&gt;=0.70,M275&gt;0),"Yes","No"))</f>
        <v/>
      </c>
      <c r="V275">
        <f>IF(A275="","",IF(AND(S275="Low Movement",M275&gt;0,P275&gt;=2),"Yes","No"))</f>
        <v/>
      </c>
      <c r="W275" s="2">
        <f>IF(T275="","",MIN(0.12,IF(T275="High Value Bundle",0.05,IF(T275="Medium Value Bundle",0.07,0.10))+IF(P275&gt;=8,0.02,0)))</f>
        <v/>
      </c>
      <c r="X275">
        <f>IF(U275="Yes",C275&amp;"|anchor","")</f>
        <v/>
      </c>
      <c r="Y275">
        <f>IF(U275="Yes",B275,"")</f>
        <v/>
      </c>
    </row>
    <row r="276">
      <c r="A276">
        <f>Input_Data!C276</f>
        <v/>
      </c>
      <c r="B276">
        <f>Input_Data!A276</f>
        <v/>
      </c>
      <c r="C276">
        <f>Input_Data!B276</f>
        <v/>
      </c>
      <c r="D276">
        <f>Input_Data!D276</f>
        <v/>
      </c>
      <c r="E276">
        <f>IF(A276="","",SUM(Input_Data!E276:H276))</f>
        <v/>
      </c>
      <c r="F276">
        <f>IF(E276="","",E276/4)</f>
        <v/>
      </c>
      <c r="G276" s="2">
        <f>IF(E276="","",IF(COUNTA($E$2:$E$300)&lt;=1,0,PERCENTRANK.INC($E$2:$E$300,E276)))</f>
        <v/>
      </c>
      <c r="H276" s="2">
        <f>IF(G276="","",1-G276)</f>
        <v/>
      </c>
      <c r="I276" s="2">
        <f>Input_Data!I276</f>
        <v/>
      </c>
      <c r="J276" s="2">
        <f>IF(I276="","",IF(COUNTA($I$2:$I$300)&lt;=1,0,PERCENTRANK.INC($I$2:$I$300,I276)))</f>
        <v/>
      </c>
      <c r="K276">
        <f>Input_Data!J276</f>
        <v/>
      </c>
      <c r="L276">
        <f>Input_Data!K276</f>
        <v/>
      </c>
      <c r="M276">
        <f>Input_Data!L276</f>
        <v/>
      </c>
      <c r="N276">
        <f>IF(K276="","",K276-L276)</f>
        <v/>
      </c>
      <c r="O276">
        <f>IF(A276="","",IF(ABS(M276-N276)&lt;=1,"OK","CHECK"))</f>
        <v/>
      </c>
      <c r="P276">
        <f>IF(M276="","",IF(F276=0,99,M276/F276))</f>
        <v/>
      </c>
      <c r="Q276" s="2">
        <f>IF(P276="","",IF(COUNTA($P$2:$P$300)&lt;=1,0,PERCENTRANK.INC($P$2:$P$300,P276)))</f>
        <v/>
      </c>
      <c r="R276" s="2">
        <f>IF(A276="","",0.45*H276+0.35*Q276+0.20*J276)</f>
        <v/>
      </c>
      <c r="S276">
        <f>IF(G276="","",IF(G276&lt;=0.33,"Low Movement",IF(G276&lt;=0.66,"Medium Movement","High Movement")))</f>
        <v/>
      </c>
      <c r="T276">
        <f>IF(R276="","",IF(R276&gt;=0.67,"High Value Bundle",IF(R276&gt;=0.34,"Medium Value Bundle","Low Value Bundle")))</f>
        <v/>
      </c>
      <c r="U276">
        <f>IF(A276="","",IF(AND(G276&gt;=0.70,J276&gt;=0.70,M276&gt;0),"Yes","No"))</f>
        <v/>
      </c>
      <c r="V276">
        <f>IF(A276="","",IF(AND(S276="Low Movement",M276&gt;0,P276&gt;=2),"Yes","No"))</f>
        <v/>
      </c>
      <c r="W276" s="2">
        <f>IF(T276="","",MIN(0.12,IF(T276="High Value Bundle",0.05,IF(T276="Medium Value Bundle",0.07,0.10))+IF(P276&gt;=8,0.02,0)))</f>
        <v/>
      </c>
      <c r="X276">
        <f>IF(U276="Yes",C276&amp;"|anchor","")</f>
        <v/>
      </c>
      <c r="Y276">
        <f>IF(U276="Yes",B276,"")</f>
        <v/>
      </c>
    </row>
    <row r="277">
      <c r="A277">
        <f>Input_Data!C277</f>
        <v/>
      </c>
      <c r="B277">
        <f>Input_Data!A277</f>
        <v/>
      </c>
      <c r="C277">
        <f>Input_Data!B277</f>
        <v/>
      </c>
      <c r="D277">
        <f>Input_Data!D277</f>
        <v/>
      </c>
      <c r="E277">
        <f>IF(A277="","",SUM(Input_Data!E277:H277))</f>
        <v/>
      </c>
      <c r="F277">
        <f>IF(E277="","",E277/4)</f>
        <v/>
      </c>
      <c r="G277" s="2">
        <f>IF(E277="","",IF(COUNTA($E$2:$E$300)&lt;=1,0,PERCENTRANK.INC($E$2:$E$300,E277)))</f>
        <v/>
      </c>
      <c r="H277" s="2">
        <f>IF(G277="","",1-G277)</f>
        <v/>
      </c>
      <c r="I277" s="2">
        <f>Input_Data!I277</f>
        <v/>
      </c>
      <c r="J277" s="2">
        <f>IF(I277="","",IF(COUNTA($I$2:$I$300)&lt;=1,0,PERCENTRANK.INC($I$2:$I$300,I277)))</f>
        <v/>
      </c>
      <c r="K277">
        <f>Input_Data!J277</f>
        <v/>
      </c>
      <c r="L277">
        <f>Input_Data!K277</f>
        <v/>
      </c>
      <c r="M277">
        <f>Input_Data!L277</f>
        <v/>
      </c>
      <c r="N277">
        <f>IF(K277="","",K277-L277)</f>
        <v/>
      </c>
      <c r="O277">
        <f>IF(A277="","",IF(ABS(M277-N277)&lt;=1,"OK","CHECK"))</f>
        <v/>
      </c>
      <c r="P277">
        <f>IF(M277="","",IF(F277=0,99,M277/F277))</f>
        <v/>
      </c>
      <c r="Q277" s="2">
        <f>IF(P277="","",IF(COUNTA($P$2:$P$300)&lt;=1,0,PERCENTRANK.INC($P$2:$P$300,P277)))</f>
        <v/>
      </c>
      <c r="R277" s="2">
        <f>IF(A277="","",0.45*H277+0.35*Q277+0.20*J277)</f>
        <v/>
      </c>
      <c r="S277">
        <f>IF(G277="","",IF(G277&lt;=0.33,"Low Movement",IF(G277&lt;=0.66,"Medium Movement","High Movement")))</f>
        <v/>
      </c>
      <c r="T277">
        <f>IF(R277="","",IF(R277&gt;=0.67,"High Value Bundle",IF(R277&gt;=0.34,"Medium Value Bundle","Low Value Bundle")))</f>
        <v/>
      </c>
      <c r="U277">
        <f>IF(A277="","",IF(AND(G277&gt;=0.70,J277&gt;=0.70,M277&gt;0),"Yes","No"))</f>
        <v/>
      </c>
      <c r="V277">
        <f>IF(A277="","",IF(AND(S277="Low Movement",M277&gt;0,P277&gt;=2),"Yes","No"))</f>
        <v/>
      </c>
      <c r="W277" s="2">
        <f>IF(T277="","",MIN(0.12,IF(T277="High Value Bundle",0.05,IF(T277="Medium Value Bundle",0.07,0.10))+IF(P277&gt;=8,0.02,0)))</f>
        <v/>
      </c>
      <c r="X277">
        <f>IF(U277="Yes",C277&amp;"|anchor","")</f>
        <v/>
      </c>
      <c r="Y277">
        <f>IF(U277="Yes",B277,"")</f>
        <v/>
      </c>
    </row>
    <row r="278">
      <c r="A278">
        <f>Input_Data!C278</f>
        <v/>
      </c>
      <c r="B278">
        <f>Input_Data!A278</f>
        <v/>
      </c>
      <c r="C278">
        <f>Input_Data!B278</f>
        <v/>
      </c>
      <c r="D278">
        <f>Input_Data!D278</f>
        <v/>
      </c>
      <c r="E278">
        <f>IF(A278="","",SUM(Input_Data!E278:H278))</f>
        <v/>
      </c>
      <c r="F278">
        <f>IF(E278="","",E278/4)</f>
        <v/>
      </c>
      <c r="G278" s="2">
        <f>IF(E278="","",IF(COUNTA($E$2:$E$300)&lt;=1,0,PERCENTRANK.INC($E$2:$E$300,E278)))</f>
        <v/>
      </c>
      <c r="H278" s="2">
        <f>IF(G278="","",1-G278)</f>
        <v/>
      </c>
      <c r="I278" s="2">
        <f>Input_Data!I278</f>
        <v/>
      </c>
      <c r="J278" s="2">
        <f>IF(I278="","",IF(COUNTA($I$2:$I$300)&lt;=1,0,PERCENTRANK.INC($I$2:$I$300,I278)))</f>
        <v/>
      </c>
      <c r="K278">
        <f>Input_Data!J278</f>
        <v/>
      </c>
      <c r="L278">
        <f>Input_Data!K278</f>
        <v/>
      </c>
      <c r="M278">
        <f>Input_Data!L278</f>
        <v/>
      </c>
      <c r="N278">
        <f>IF(K278="","",K278-L278)</f>
        <v/>
      </c>
      <c r="O278">
        <f>IF(A278="","",IF(ABS(M278-N278)&lt;=1,"OK","CHECK"))</f>
        <v/>
      </c>
      <c r="P278">
        <f>IF(M278="","",IF(F278=0,99,M278/F278))</f>
        <v/>
      </c>
      <c r="Q278" s="2">
        <f>IF(P278="","",IF(COUNTA($P$2:$P$300)&lt;=1,0,PERCENTRANK.INC($P$2:$P$300,P278)))</f>
        <v/>
      </c>
      <c r="R278" s="2">
        <f>IF(A278="","",0.45*H278+0.35*Q278+0.20*J278)</f>
        <v/>
      </c>
      <c r="S278">
        <f>IF(G278="","",IF(G278&lt;=0.33,"Low Movement",IF(G278&lt;=0.66,"Medium Movement","High Movement")))</f>
        <v/>
      </c>
      <c r="T278">
        <f>IF(R278="","",IF(R278&gt;=0.67,"High Value Bundle",IF(R278&gt;=0.34,"Medium Value Bundle","Low Value Bundle")))</f>
        <v/>
      </c>
      <c r="U278">
        <f>IF(A278="","",IF(AND(G278&gt;=0.70,J278&gt;=0.70,M278&gt;0),"Yes","No"))</f>
        <v/>
      </c>
      <c r="V278">
        <f>IF(A278="","",IF(AND(S278="Low Movement",M278&gt;0,P278&gt;=2),"Yes","No"))</f>
        <v/>
      </c>
      <c r="W278" s="2">
        <f>IF(T278="","",MIN(0.12,IF(T278="High Value Bundle",0.05,IF(T278="Medium Value Bundle",0.07,0.10))+IF(P278&gt;=8,0.02,0)))</f>
        <v/>
      </c>
      <c r="X278">
        <f>IF(U278="Yes",C278&amp;"|anchor","")</f>
        <v/>
      </c>
      <c r="Y278">
        <f>IF(U278="Yes",B278,"")</f>
        <v/>
      </c>
    </row>
    <row r="279">
      <c r="A279">
        <f>Input_Data!C279</f>
        <v/>
      </c>
      <c r="B279">
        <f>Input_Data!A279</f>
        <v/>
      </c>
      <c r="C279">
        <f>Input_Data!B279</f>
        <v/>
      </c>
      <c r="D279">
        <f>Input_Data!D279</f>
        <v/>
      </c>
      <c r="E279">
        <f>IF(A279="","",SUM(Input_Data!E279:H279))</f>
        <v/>
      </c>
      <c r="F279">
        <f>IF(E279="","",E279/4)</f>
        <v/>
      </c>
      <c r="G279" s="2">
        <f>IF(E279="","",IF(COUNTA($E$2:$E$300)&lt;=1,0,PERCENTRANK.INC($E$2:$E$300,E279)))</f>
        <v/>
      </c>
      <c r="H279" s="2">
        <f>IF(G279="","",1-G279)</f>
        <v/>
      </c>
      <c r="I279" s="2">
        <f>Input_Data!I279</f>
        <v/>
      </c>
      <c r="J279" s="2">
        <f>IF(I279="","",IF(COUNTA($I$2:$I$300)&lt;=1,0,PERCENTRANK.INC($I$2:$I$300,I279)))</f>
        <v/>
      </c>
      <c r="K279">
        <f>Input_Data!J279</f>
        <v/>
      </c>
      <c r="L279">
        <f>Input_Data!K279</f>
        <v/>
      </c>
      <c r="M279">
        <f>Input_Data!L279</f>
        <v/>
      </c>
      <c r="N279">
        <f>IF(K279="","",K279-L279)</f>
        <v/>
      </c>
      <c r="O279">
        <f>IF(A279="","",IF(ABS(M279-N279)&lt;=1,"OK","CHECK"))</f>
        <v/>
      </c>
      <c r="P279">
        <f>IF(M279="","",IF(F279=0,99,M279/F279))</f>
        <v/>
      </c>
      <c r="Q279" s="2">
        <f>IF(P279="","",IF(COUNTA($P$2:$P$300)&lt;=1,0,PERCENTRANK.INC($P$2:$P$300,P279)))</f>
        <v/>
      </c>
      <c r="R279" s="2">
        <f>IF(A279="","",0.45*H279+0.35*Q279+0.20*J279)</f>
        <v/>
      </c>
      <c r="S279">
        <f>IF(G279="","",IF(G279&lt;=0.33,"Low Movement",IF(G279&lt;=0.66,"Medium Movement","High Movement")))</f>
        <v/>
      </c>
      <c r="T279">
        <f>IF(R279="","",IF(R279&gt;=0.67,"High Value Bundle",IF(R279&gt;=0.34,"Medium Value Bundle","Low Value Bundle")))</f>
        <v/>
      </c>
      <c r="U279">
        <f>IF(A279="","",IF(AND(G279&gt;=0.70,J279&gt;=0.70,M279&gt;0),"Yes","No"))</f>
        <v/>
      </c>
      <c r="V279">
        <f>IF(A279="","",IF(AND(S279="Low Movement",M279&gt;0,P279&gt;=2),"Yes","No"))</f>
        <v/>
      </c>
      <c r="W279" s="2">
        <f>IF(T279="","",MIN(0.12,IF(T279="High Value Bundle",0.05,IF(T279="Medium Value Bundle",0.07,0.10))+IF(P279&gt;=8,0.02,0)))</f>
        <v/>
      </c>
      <c r="X279">
        <f>IF(U279="Yes",C279&amp;"|anchor","")</f>
        <v/>
      </c>
      <c r="Y279">
        <f>IF(U279="Yes",B279,"")</f>
        <v/>
      </c>
    </row>
    <row r="280">
      <c r="A280">
        <f>Input_Data!C280</f>
        <v/>
      </c>
      <c r="B280">
        <f>Input_Data!A280</f>
        <v/>
      </c>
      <c r="C280">
        <f>Input_Data!B280</f>
        <v/>
      </c>
      <c r="D280">
        <f>Input_Data!D280</f>
        <v/>
      </c>
      <c r="E280">
        <f>IF(A280="","",SUM(Input_Data!E280:H280))</f>
        <v/>
      </c>
      <c r="F280">
        <f>IF(E280="","",E280/4)</f>
        <v/>
      </c>
      <c r="G280" s="2">
        <f>IF(E280="","",IF(COUNTA($E$2:$E$300)&lt;=1,0,PERCENTRANK.INC($E$2:$E$300,E280)))</f>
        <v/>
      </c>
      <c r="H280" s="2">
        <f>IF(G280="","",1-G280)</f>
        <v/>
      </c>
      <c r="I280" s="2">
        <f>Input_Data!I280</f>
        <v/>
      </c>
      <c r="J280" s="2">
        <f>IF(I280="","",IF(COUNTA($I$2:$I$300)&lt;=1,0,PERCENTRANK.INC($I$2:$I$300,I280)))</f>
        <v/>
      </c>
      <c r="K280">
        <f>Input_Data!J280</f>
        <v/>
      </c>
      <c r="L280">
        <f>Input_Data!K280</f>
        <v/>
      </c>
      <c r="M280">
        <f>Input_Data!L280</f>
        <v/>
      </c>
      <c r="N280">
        <f>IF(K280="","",K280-L280)</f>
        <v/>
      </c>
      <c r="O280">
        <f>IF(A280="","",IF(ABS(M280-N280)&lt;=1,"OK","CHECK"))</f>
        <v/>
      </c>
      <c r="P280">
        <f>IF(M280="","",IF(F280=0,99,M280/F280))</f>
        <v/>
      </c>
      <c r="Q280" s="2">
        <f>IF(P280="","",IF(COUNTA($P$2:$P$300)&lt;=1,0,PERCENTRANK.INC($P$2:$P$300,P280)))</f>
        <v/>
      </c>
      <c r="R280" s="2">
        <f>IF(A280="","",0.45*H280+0.35*Q280+0.20*J280)</f>
        <v/>
      </c>
      <c r="S280">
        <f>IF(G280="","",IF(G280&lt;=0.33,"Low Movement",IF(G280&lt;=0.66,"Medium Movement","High Movement")))</f>
        <v/>
      </c>
      <c r="T280">
        <f>IF(R280="","",IF(R280&gt;=0.67,"High Value Bundle",IF(R280&gt;=0.34,"Medium Value Bundle","Low Value Bundle")))</f>
        <v/>
      </c>
      <c r="U280">
        <f>IF(A280="","",IF(AND(G280&gt;=0.70,J280&gt;=0.70,M280&gt;0),"Yes","No"))</f>
        <v/>
      </c>
      <c r="V280">
        <f>IF(A280="","",IF(AND(S280="Low Movement",M280&gt;0,P280&gt;=2),"Yes","No"))</f>
        <v/>
      </c>
      <c r="W280" s="2">
        <f>IF(T280="","",MIN(0.12,IF(T280="High Value Bundle",0.05,IF(T280="Medium Value Bundle",0.07,0.10))+IF(P280&gt;=8,0.02,0)))</f>
        <v/>
      </c>
      <c r="X280">
        <f>IF(U280="Yes",C280&amp;"|anchor","")</f>
        <v/>
      </c>
      <c r="Y280">
        <f>IF(U280="Yes",B280,"")</f>
        <v/>
      </c>
    </row>
    <row r="281">
      <c r="A281">
        <f>Input_Data!C281</f>
        <v/>
      </c>
      <c r="B281">
        <f>Input_Data!A281</f>
        <v/>
      </c>
      <c r="C281">
        <f>Input_Data!B281</f>
        <v/>
      </c>
      <c r="D281">
        <f>Input_Data!D281</f>
        <v/>
      </c>
      <c r="E281">
        <f>IF(A281="","",SUM(Input_Data!E281:H281))</f>
        <v/>
      </c>
      <c r="F281">
        <f>IF(E281="","",E281/4)</f>
        <v/>
      </c>
      <c r="G281" s="2">
        <f>IF(E281="","",IF(COUNTA($E$2:$E$300)&lt;=1,0,PERCENTRANK.INC($E$2:$E$300,E281)))</f>
        <v/>
      </c>
      <c r="H281" s="2">
        <f>IF(G281="","",1-G281)</f>
        <v/>
      </c>
      <c r="I281" s="2">
        <f>Input_Data!I281</f>
        <v/>
      </c>
      <c r="J281" s="2">
        <f>IF(I281="","",IF(COUNTA($I$2:$I$300)&lt;=1,0,PERCENTRANK.INC($I$2:$I$300,I281)))</f>
        <v/>
      </c>
      <c r="K281">
        <f>Input_Data!J281</f>
        <v/>
      </c>
      <c r="L281">
        <f>Input_Data!K281</f>
        <v/>
      </c>
      <c r="M281">
        <f>Input_Data!L281</f>
        <v/>
      </c>
      <c r="N281">
        <f>IF(K281="","",K281-L281)</f>
        <v/>
      </c>
      <c r="O281">
        <f>IF(A281="","",IF(ABS(M281-N281)&lt;=1,"OK","CHECK"))</f>
        <v/>
      </c>
      <c r="P281">
        <f>IF(M281="","",IF(F281=0,99,M281/F281))</f>
        <v/>
      </c>
      <c r="Q281" s="2">
        <f>IF(P281="","",IF(COUNTA($P$2:$P$300)&lt;=1,0,PERCENTRANK.INC($P$2:$P$300,P281)))</f>
        <v/>
      </c>
      <c r="R281" s="2">
        <f>IF(A281="","",0.45*H281+0.35*Q281+0.20*J281)</f>
        <v/>
      </c>
      <c r="S281">
        <f>IF(G281="","",IF(G281&lt;=0.33,"Low Movement",IF(G281&lt;=0.66,"Medium Movement","High Movement")))</f>
        <v/>
      </c>
      <c r="T281">
        <f>IF(R281="","",IF(R281&gt;=0.67,"High Value Bundle",IF(R281&gt;=0.34,"Medium Value Bundle","Low Value Bundle")))</f>
        <v/>
      </c>
      <c r="U281">
        <f>IF(A281="","",IF(AND(G281&gt;=0.70,J281&gt;=0.70,M281&gt;0),"Yes","No"))</f>
        <v/>
      </c>
      <c r="V281">
        <f>IF(A281="","",IF(AND(S281="Low Movement",M281&gt;0,P281&gt;=2),"Yes","No"))</f>
        <v/>
      </c>
      <c r="W281" s="2">
        <f>IF(T281="","",MIN(0.12,IF(T281="High Value Bundle",0.05,IF(T281="Medium Value Bundle",0.07,0.10))+IF(P281&gt;=8,0.02,0)))</f>
        <v/>
      </c>
      <c r="X281">
        <f>IF(U281="Yes",C281&amp;"|anchor","")</f>
        <v/>
      </c>
      <c r="Y281">
        <f>IF(U281="Yes",B281,"")</f>
        <v/>
      </c>
    </row>
    <row r="282">
      <c r="A282">
        <f>Input_Data!C282</f>
        <v/>
      </c>
      <c r="B282">
        <f>Input_Data!A282</f>
        <v/>
      </c>
      <c r="C282">
        <f>Input_Data!B282</f>
        <v/>
      </c>
      <c r="D282">
        <f>Input_Data!D282</f>
        <v/>
      </c>
      <c r="E282">
        <f>IF(A282="","",SUM(Input_Data!E282:H282))</f>
        <v/>
      </c>
      <c r="F282">
        <f>IF(E282="","",E282/4)</f>
        <v/>
      </c>
      <c r="G282" s="2">
        <f>IF(E282="","",IF(COUNTA($E$2:$E$300)&lt;=1,0,PERCENTRANK.INC($E$2:$E$300,E282)))</f>
        <v/>
      </c>
      <c r="H282" s="2">
        <f>IF(G282="","",1-G282)</f>
        <v/>
      </c>
      <c r="I282" s="2">
        <f>Input_Data!I282</f>
        <v/>
      </c>
      <c r="J282" s="2">
        <f>IF(I282="","",IF(COUNTA($I$2:$I$300)&lt;=1,0,PERCENTRANK.INC($I$2:$I$300,I282)))</f>
        <v/>
      </c>
      <c r="K282">
        <f>Input_Data!J282</f>
        <v/>
      </c>
      <c r="L282">
        <f>Input_Data!K282</f>
        <v/>
      </c>
      <c r="M282">
        <f>Input_Data!L282</f>
        <v/>
      </c>
      <c r="N282">
        <f>IF(K282="","",K282-L282)</f>
        <v/>
      </c>
      <c r="O282">
        <f>IF(A282="","",IF(ABS(M282-N282)&lt;=1,"OK","CHECK"))</f>
        <v/>
      </c>
      <c r="P282">
        <f>IF(M282="","",IF(F282=0,99,M282/F282))</f>
        <v/>
      </c>
      <c r="Q282" s="2">
        <f>IF(P282="","",IF(COUNTA($P$2:$P$300)&lt;=1,0,PERCENTRANK.INC($P$2:$P$300,P282)))</f>
        <v/>
      </c>
      <c r="R282" s="2">
        <f>IF(A282="","",0.45*H282+0.35*Q282+0.20*J282)</f>
        <v/>
      </c>
      <c r="S282">
        <f>IF(G282="","",IF(G282&lt;=0.33,"Low Movement",IF(G282&lt;=0.66,"Medium Movement","High Movement")))</f>
        <v/>
      </c>
      <c r="T282">
        <f>IF(R282="","",IF(R282&gt;=0.67,"High Value Bundle",IF(R282&gt;=0.34,"Medium Value Bundle","Low Value Bundle")))</f>
        <v/>
      </c>
      <c r="U282">
        <f>IF(A282="","",IF(AND(G282&gt;=0.70,J282&gt;=0.70,M282&gt;0),"Yes","No"))</f>
        <v/>
      </c>
      <c r="V282">
        <f>IF(A282="","",IF(AND(S282="Low Movement",M282&gt;0,P282&gt;=2),"Yes","No"))</f>
        <v/>
      </c>
      <c r="W282" s="2">
        <f>IF(T282="","",MIN(0.12,IF(T282="High Value Bundle",0.05,IF(T282="Medium Value Bundle",0.07,0.10))+IF(P282&gt;=8,0.02,0)))</f>
        <v/>
      </c>
      <c r="X282">
        <f>IF(U282="Yes",C282&amp;"|anchor","")</f>
        <v/>
      </c>
      <c r="Y282">
        <f>IF(U282="Yes",B282,"")</f>
        <v/>
      </c>
    </row>
    <row r="283">
      <c r="A283">
        <f>Input_Data!C283</f>
        <v/>
      </c>
      <c r="B283">
        <f>Input_Data!A283</f>
        <v/>
      </c>
      <c r="C283">
        <f>Input_Data!B283</f>
        <v/>
      </c>
      <c r="D283">
        <f>Input_Data!D283</f>
        <v/>
      </c>
      <c r="E283">
        <f>IF(A283="","",SUM(Input_Data!E283:H283))</f>
        <v/>
      </c>
      <c r="F283">
        <f>IF(E283="","",E283/4)</f>
        <v/>
      </c>
      <c r="G283" s="2">
        <f>IF(E283="","",IF(COUNTA($E$2:$E$300)&lt;=1,0,PERCENTRANK.INC($E$2:$E$300,E283)))</f>
        <v/>
      </c>
      <c r="H283" s="2">
        <f>IF(G283="","",1-G283)</f>
        <v/>
      </c>
      <c r="I283" s="2">
        <f>Input_Data!I283</f>
        <v/>
      </c>
      <c r="J283" s="2">
        <f>IF(I283="","",IF(COUNTA($I$2:$I$300)&lt;=1,0,PERCENTRANK.INC($I$2:$I$300,I283)))</f>
        <v/>
      </c>
      <c r="K283">
        <f>Input_Data!J283</f>
        <v/>
      </c>
      <c r="L283">
        <f>Input_Data!K283</f>
        <v/>
      </c>
      <c r="M283">
        <f>Input_Data!L283</f>
        <v/>
      </c>
      <c r="N283">
        <f>IF(K283="","",K283-L283)</f>
        <v/>
      </c>
      <c r="O283">
        <f>IF(A283="","",IF(ABS(M283-N283)&lt;=1,"OK","CHECK"))</f>
        <v/>
      </c>
      <c r="P283">
        <f>IF(M283="","",IF(F283=0,99,M283/F283))</f>
        <v/>
      </c>
      <c r="Q283" s="2">
        <f>IF(P283="","",IF(COUNTA($P$2:$P$300)&lt;=1,0,PERCENTRANK.INC($P$2:$P$300,P283)))</f>
        <v/>
      </c>
      <c r="R283" s="2">
        <f>IF(A283="","",0.45*H283+0.35*Q283+0.20*J283)</f>
        <v/>
      </c>
      <c r="S283">
        <f>IF(G283="","",IF(G283&lt;=0.33,"Low Movement",IF(G283&lt;=0.66,"Medium Movement","High Movement")))</f>
        <v/>
      </c>
      <c r="T283">
        <f>IF(R283="","",IF(R283&gt;=0.67,"High Value Bundle",IF(R283&gt;=0.34,"Medium Value Bundle","Low Value Bundle")))</f>
        <v/>
      </c>
      <c r="U283">
        <f>IF(A283="","",IF(AND(G283&gt;=0.70,J283&gt;=0.70,M283&gt;0),"Yes","No"))</f>
        <v/>
      </c>
      <c r="V283">
        <f>IF(A283="","",IF(AND(S283="Low Movement",M283&gt;0,P283&gt;=2),"Yes","No"))</f>
        <v/>
      </c>
      <c r="W283" s="2">
        <f>IF(T283="","",MIN(0.12,IF(T283="High Value Bundle",0.05,IF(T283="Medium Value Bundle",0.07,0.10))+IF(P283&gt;=8,0.02,0)))</f>
        <v/>
      </c>
      <c r="X283">
        <f>IF(U283="Yes",C283&amp;"|anchor","")</f>
        <v/>
      </c>
      <c r="Y283">
        <f>IF(U283="Yes",B283,"")</f>
        <v/>
      </c>
    </row>
    <row r="284">
      <c r="A284">
        <f>Input_Data!C284</f>
        <v/>
      </c>
      <c r="B284">
        <f>Input_Data!A284</f>
        <v/>
      </c>
      <c r="C284">
        <f>Input_Data!B284</f>
        <v/>
      </c>
      <c r="D284">
        <f>Input_Data!D284</f>
        <v/>
      </c>
      <c r="E284">
        <f>IF(A284="","",SUM(Input_Data!E284:H284))</f>
        <v/>
      </c>
      <c r="F284">
        <f>IF(E284="","",E284/4)</f>
        <v/>
      </c>
      <c r="G284" s="2">
        <f>IF(E284="","",IF(COUNTA($E$2:$E$300)&lt;=1,0,PERCENTRANK.INC($E$2:$E$300,E284)))</f>
        <v/>
      </c>
      <c r="H284" s="2">
        <f>IF(G284="","",1-G284)</f>
        <v/>
      </c>
      <c r="I284" s="2">
        <f>Input_Data!I284</f>
        <v/>
      </c>
      <c r="J284" s="2">
        <f>IF(I284="","",IF(COUNTA($I$2:$I$300)&lt;=1,0,PERCENTRANK.INC($I$2:$I$300,I284)))</f>
        <v/>
      </c>
      <c r="K284">
        <f>Input_Data!J284</f>
        <v/>
      </c>
      <c r="L284">
        <f>Input_Data!K284</f>
        <v/>
      </c>
      <c r="M284">
        <f>Input_Data!L284</f>
        <v/>
      </c>
      <c r="N284">
        <f>IF(K284="","",K284-L284)</f>
        <v/>
      </c>
      <c r="O284">
        <f>IF(A284="","",IF(ABS(M284-N284)&lt;=1,"OK","CHECK"))</f>
        <v/>
      </c>
      <c r="P284">
        <f>IF(M284="","",IF(F284=0,99,M284/F284))</f>
        <v/>
      </c>
      <c r="Q284" s="2">
        <f>IF(P284="","",IF(COUNTA($P$2:$P$300)&lt;=1,0,PERCENTRANK.INC($P$2:$P$300,P284)))</f>
        <v/>
      </c>
      <c r="R284" s="2">
        <f>IF(A284="","",0.45*H284+0.35*Q284+0.20*J284)</f>
        <v/>
      </c>
      <c r="S284">
        <f>IF(G284="","",IF(G284&lt;=0.33,"Low Movement",IF(G284&lt;=0.66,"Medium Movement","High Movement")))</f>
        <v/>
      </c>
      <c r="T284">
        <f>IF(R284="","",IF(R284&gt;=0.67,"High Value Bundle",IF(R284&gt;=0.34,"Medium Value Bundle","Low Value Bundle")))</f>
        <v/>
      </c>
      <c r="U284">
        <f>IF(A284="","",IF(AND(G284&gt;=0.70,J284&gt;=0.70,M284&gt;0),"Yes","No"))</f>
        <v/>
      </c>
      <c r="V284">
        <f>IF(A284="","",IF(AND(S284="Low Movement",M284&gt;0,P284&gt;=2),"Yes","No"))</f>
        <v/>
      </c>
      <c r="W284" s="2">
        <f>IF(T284="","",MIN(0.12,IF(T284="High Value Bundle",0.05,IF(T284="Medium Value Bundle",0.07,0.10))+IF(P284&gt;=8,0.02,0)))</f>
        <v/>
      </c>
      <c r="X284">
        <f>IF(U284="Yes",C284&amp;"|anchor","")</f>
        <v/>
      </c>
      <c r="Y284">
        <f>IF(U284="Yes",B284,"")</f>
        <v/>
      </c>
    </row>
    <row r="285">
      <c r="A285">
        <f>Input_Data!C285</f>
        <v/>
      </c>
      <c r="B285">
        <f>Input_Data!A285</f>
        <v/>
      </c>
      <c r="C285">
        <f>Input_Data!B285</f>
        <v/>
      </c>
      <c r="D285">
        <f>Input_Data!D285</f>
        <v/>
      </c>
      <c r="E285">
        <f>IF(A285="","",SUM(Input_Data!E285:H285))</f>
        <v/>
      </c>
      <c r="F285">
        <f>IF(E285="","",E285/4)</f>
        <v/>
      </c>
      <c r="G285" s="2">
        <f>IF(E285="","",IF(COUNTA($E$2:$E$300)&lt;=1,0,PERCENTRANK.INC($E$2:$E$300,E285)))</f>
        <v/>
      </c>
      <c r="H285" s="2">
        <f>IF(G285="","",1-G285)</f>
        <v/>
      </c>
      <c r="I285" s="2">
        <f>Input_Data!I285</f>
        <v/>
      </c>
      <c r="J285" s="2">
        <f>IF(I285="","",IF(COUNTA($I$2:$I$300)&lt;=1,0,PERCENTRANK.INC($I$2:$I$300,I285)))</f>
        <v/>
      </c>
      <c r="K285">
        <f>Input_Data!J285</f>
        <v/>
      </c>
      <c r="L285">
        <f>Input_Data!K285</f>
        <v/>
      </c>
      <c r="M285">
        <f>Input_Data!L285</f>
        <v/>
      </c>
      <c r="N285">
        <f>IF(K285="","",K285-L285)</f>
        <v/>
      </c>
      <c r="O285">
        <f>IF(A285="","",IF(ABS(M285-N285)&lt;=1,"OK","CHECK"))</f>
        <v/>
      </c>
      <c r="P285">
        <f>IF(M285="","",IF(F285=0,99,M285/F285))</f>
        <v/>
      </c>
      <c r="Q285" s="2">
        <f>IF(P285="","",IF(COUNTA($P$2:$P$300)&lt;=1,0,PERCENTRANK.INC($P$2:$P$300,P285)))</f>
        <v/>
      </c>
      <c r="R285" s="2">
        <f>IF(A285="","",0.45*H285+0.35*Q285+0.20*J285)</f>
        <v/>
      </c>
      <c r="S285">
        <f>IF(G285="","",IF(G285&lt;=0.33,"Low Movement",IF(G285&lt;=0.66,"Medium Movement","High Movement")))</f>
        <v/>
      </c>
      <c r="T285">
        <f>IF(R285="","",IF(R285&gt;=0.67,"High Value Bundle",IF(R285&gt;=0.34,"Medium Value Bundle","Low Value Bundle")))</f>
        <v/>
      </c>
      <c r="U285">
        <f>IF(A285="","",IF(AND(G285&gt;=0.70,J285&gt;=0.70,M285&gt;0),"Yes","No"))</f>
        <v/>
      </c>
      <c r="V285">
        <f>IF(A285="","",IF(AND(S285="Low Movement",M285&gt;0,P285&gt;=2),"Yes","No"))</f>
        <v/>
      </c>
      <c r="W285" s="2">
        <f>IF(T285="","",MIN(0.12,IF(T285="High Value Bundle",0.05,IF(T285="Medium Value Bundle",0.07,0.10))+IF(P285&gt;=8,0.02,0)))</f>
        <v/>
      </c>
      <c r="X285">
        <f>IF(U285="Yes",C285&amp;"|anchor","")</f>
        <v/>
      </c>
      <c r="Y285">
        <f>IF(U285="Yes",B285,"")</f>
        <v/>
      </c>
    </row>
    <row r="286">
      <c r="A286">
        <f>Input_Data!C286</f>
        <v/>
      </c>
      <c r="B286">
        <f>Input_Data!A286</f>
        <v/>
      </c>
      <c r="C286">
        <f>Input_Data!B286</f>
        <v/>
      </c>
      <c r="D286">
        <f>Input_Data!D286</f>
        <v/>
      </c>
      <c r="E286">
        <f>IF(A286="","",SUM(Input_Data!E286:H286))</f>
        <v/>
      </c>
      <c r="F286">
        <f>IF(E286="","",E286/4)</f>
        <v/>
      </c>
      <c r="G286" s="2">
        <f>IF(E286="","",IF(COUNTA($E$2:$E$300)&lt;=1,0,PERCENTRANK.INC($E$2:$E$300,E286)))</f>
        <v/>
      </c>
      <c r="H286" s="2">
        <f>IF(G286="","",1-G286)</f>
        <v/>
      </c>
      <c r="I286" s="2">
        <f>Input_Data!I286</f>
        <v/>
      </c>
      <c r="J286" s="2">
        <f>IF(I286="","",IF(COUNTA($I$2:$I$300)&lt;=1,0,PERCENTRANK.INC($I$2:$I$300,I286)))</f>
        <v/>
      </c>
      <c r="K286">
        <f>Input_Data!J286</f>
        <v/>
      </c>
      <c r="L286">
        <f>Input_Data!K286</f>
        <v/>
      </c>
      <c r="M286">
        <f>Input_Data!L286</f>
        <v/>
      </c>
      <c r="N286">
        <f>IF(K286="","",K286-L286)</f>
        <v/>
      </c>
      <c r="O286">
        <f>IF(A286="","",IF(ABS(M286-N286)&lt;=1,"OK","CHECK"))</f>
        <v/>
      </c>
      <c r="P286">
        <f>IF(M286="","",IF(F286=0,99,M286/F286))</f>
        <v/>
      </c>
      <c r="Q286" s="2">
        <f>IF(P286="","",IF(COUNTA($P$2:$P$300)&lt;=1,0,PERCENTRANK.INC($P$2:$P$300,P286)))</f>
        <v/>
      </c>
      <c r="R286" s="2">
        <f>IF(A286="","",0.45*H286+0.35*Q286+0.20*J286)</f>
        <v/>
      </c>
      <c r="S286">
        <f>IF(G286="","",IF(G286&lt;=0.33,"Low Movement",IF(G286&lt;=0.66,"Medium Movement","High Movement")))</f>
        <v/>
      </c>
      <c r="T286">
        <f>IF(R286="","",IF(R286&gt;=0.67,"High Value Bundle",IF(R286&gt;=0.34,"Medium Value Bundle","Low Value Bundle")))</f>
        <v/>
      </c>
      <c r="U286">
        <f>IF(A286="","",IF(AND(G286&gt;=0.70,J286&gt;=0.70,M286&gt;0),"Yes","No"))</f>
        <v/>
      </c>
      <c r="V286">
        <f>IF(A286="","",IF(AND(S286="Low Movement",M286&gt;0,P286&gt;=2),"Yes","No"))</f>
        <v/>
      </c>
      <c r="W286" s="2">
        <f>IF(T286="","",MIN(0.12,IF(T286="High Value Bundle",0.05,IF(T286="Medium Value Bundle",0.07,0.10))+IF(P286&gt;=8,0.02,0)))</f>
        <v/>
      </c>
      <c r="X286">
        <f>IF(U286="Yes",C286&amp;"|anchor","")</f>
        <v/>
      </c>
      <c r="Y286">
        <f>IF(U286="Yes",B286,"")</f>
        <v/>
      </c>
    </row>
    <row r="287">
      <c r="A287">
        <f>Input_Data!C287</f>
        <v/>
      </c>
      <c r="B287">
        <f>Input_Data!A287</f>
        <v/>
      </c>
      <c r="C287">
        <f>Input_Data!B287</f>
        <v/>
      </c>
      <c r="D287">
        <f>Input_Data!D287</f>
        <v/>
      </c>
      <c r="E287">
        <f>IF(A287="","",SUM(Input_Data!E287:H287))</f>
        <v/>
      </c>
      <c r="F287">
        <f>IF(E287="","",E287/4)</f>
        <v/>
      </c>
      <c r="G287" s="2">
        <f>IF(E287="","",IF(COUNTA($E$2:$E$300)&lt;=1,0,PERCENTRANK.INC($E$2:$E$300,E287)))</f>
        <v/>
      </c>
      <c r="H287" s="2">
        <f>IF(G287="","",1-G287)</f>
        <v/>
      </c>
      <c r="I287" s="2">
        <f>Input_Data!I287</f>
        <v/>
      </c>
      <c r="J287" s="2">
        <f>IF(I287="","",IF(COUNTA($I$2:$I$300)&lt;=1,0,PERCENTRANK.INC($I$2:$I$300,I287)))</f>
        <v/>
      </c>
      <c r="K287">
        <f>Input_Data!J287</f>
        <v/>
      </c>
      <c r="L287">
        <f>Input_Data!K287</f>
        <v/>
      </c>
      <c r="M287">
        <f>Input_Data!L287</f>
        <v/>
      </c>
      <c r="N287">
        <f>IF(K287="","",K287-L287)</f>
        <v/>
      </c>
      <c r="O287">
        <f>IF(A287="","",IF(ABS(M287-N287)&lt;=1,"OK","CHECK"))</f>
        <v/>
      </c>
      <c r="P287">
        <f>IF(M287="","",IF(F287=0,99,M287/F287))</f>
        <v/>
      </c>
      <c r="Q287" s="2">
        <f>IF(P287="","",IF(COUNTA($P$2:$P$300)&lt;=1,0,PERCENTRANK.INC($P$2:$P$300,P287)))</f>
        <v/>
      </c>
      <c r="R287" s="2">
        <f>IF(A287="","",0.45*H287+0.35*Q287+0.20*J287)</f>
        <v/>
      </c>
      <c r="S287">
        <f>IF(G287="","",IF(G287&lt;=0.33,"Low Movement",IF(G287&lt;=0.66,"Medium Movement","High Movement")))</f>
        <v/>
      </c>
      <c r="T287">
        <f>IF(R287="","",IF(R287&gt;=0.67,"High Value Bundle",IF(R287&gt;=0.34,"Medium Value Bundle","Low Value Bundle")))</f>
        <v/>
      </c>
      <c r="U287">
        <f>IF(A287="","",IF(AND(G287&gt;=0.70,J287&gt;=0.70,M287&gt;0),"Yes","No"))</f>
        <v/>
      </c>
      <c r="V287">
        <f>IF(A287="","",IF(AND(S287="Low Movement",M287&gt;0,P287&gt;=2),"Yes","No"))</f>
        <v/>
      </c>
      <c r="W287" s="2">
        <f>IF(T287="","",MIN(0.12,IF(T287="High Value Bundle",0.05,IF(T287="Medium Value Bundle",0.07,0.10))+IF(P287&gt;=8,0.02,0)))</f>
        <v/>
      </c>
      <c r="X287">
        <f>IF(U287="Yes",C287&amp;"|anchor","")</f>
        <v/>
      </c>
      <c r="Y287">
        <f>IF(U287="Yes",B287,"")</f>
        <v/>
      </c>
    </row>
    <row r="288">
      <c r="A288">
        <f>Input_Data!C288</f>
        <v/>
      </c>
      <c r="B288">
        <f>Input_Data!A288</f>
        <v/>
      </c>
      <c r="C288">
        <f>Input_Data!B288</f>
        <v/>
      </c>
      <c r="D288">
        <f>Input_Data!D288</f>
        <v/>
      </c>
      <c r="E288">
        <f>IF(A288="","",SUM(Input_Data!E288:H288))</f>
        <v/>
      </c>
      <c r="F288">
        <f>IF(E288="","",E288/4)</f>
        <v/>
      </c>
      <c r="G288" s="2">
        <f>IF(E288="","",IF(COUNTA($E$2:$E$300)&lt;=1,0,PERCENTRANK.INC($E$2:$E$300,E288)))</f>
        <v/>
      </c>
      <c r="H288" s="2">
        <f>IF(G288="","",1-G288)</f>
        <v/>
      </c>
      <c r="I288" s="2">
        <f>Input_Data!I288</f>
        <v/>
      </c>
      <c r="J288" s="2">
        <f>IF(I288="","",IF(COUNTA($I$2:$I$300)&lt;=1,0,PERCENTRANK.INC($I$2:$I$300,I288)))</f>
        <v/>
      </c>
      <c r="K288">
        <f>Input_Data!J288</f>
        <v/>
      </c>
      <c r="L288">
        <f>Input_Data!K288</f>
        <v/>
      </c>
      <c r="M288">
        <f>Input_Data!L288</f>
        <v/>
      </c>
      <c r="N288">
        <f>IF(K288="","",K288-L288)</f>
        <v/>
      </c>
      <c r="O288">
        <f>IF(A288="","",IF(ABS(M288-N288)&lt;=1,"OK","CHECK"))</f>
        <v/>
      </c>
      <c r="P288">
        <f>IF(M288="","",IF(F288=0,99,M288/F288))</f>
        <v/>
      </c>
      <c r="Q288" s="2">
        <f>IF(P288="","",IF(COUNTA($P$2:$P$300)&lt;=1,0,PERCENTRANK.INC($P$2:$P$300,P288)))</f>
        <v/>
      </c>
      <c r="R288" s="2">
        <f>IF(A288="","",0.45*H288+0.35*Q288+0.20*J288)</f>
        <v/>
      </c>
      <c r="S288">
        <f>IF(G288="","",IF(G288&lt;=0.33,"Low Movement",IF(G288&lt;=0.66,"Medium Movement","High Movement")))</f>
        <v/>
      </c>
      <c r="T288">
        <f>IF(R288="","",IF(R288&gt;=0.67,"High Value Bundle",IF(R288&gt;=0.34,"Medium Value Bundle","Low Value Bundle")))</f>
        <v/>
      </c>
      <c r="U288">
        <f>IF(A288="","",IF(AND(G288&gt;=0.70,J288&gt;=0.70,M288&gt;0),"Yes","No"))</f>
        <v/>
      </c>
      <c r="V288">
        <f>IF(A288="","",IF(AND(S288="Low Movement",M288&gt;0,P288&gt;=2),"Yes","No"))</f>
        <v/>
      </c>
      <c r="W288" s="2">
        <f>IF(T288="","",MIN(0.12,IF(T288="High Value Bundle",0.05,IF(T288="Medium Value Bundle",0.07,0.10))+IF(P288&gt;=8,0.02,0)))</f>
        <v/>
      </c>
      <c r="X288">
        <f>IF(U288="Yes",C288&amp;"|anchor","")</f>
        <v/>
      </c>
      <c r="Y288">
        <f>IF(U288="Yes",B288,"")</f>
        <v/>
      </c>
    </row>
    <row r="289">
      <c r="A289">
        <f>Input_Data!C289</f>
        <v/>
      </c>
      <c r="B289">
        <f>Input_Data!A289</f>
        <v/>
      </c>
      <c r="C289">
        <f>Input_Data!B289</f>
        <v/>
      </c>
      <c r="D289">
        <f>Input_Data!D289</f>
        <v/>
      </c>
      <c r="E289">
        <f>IF(A289="","",SUM(Input_Data!E289:H289))</f>
        <v/>
      </c>
      <c r="F289">
        <f>IF(E289="","",E289/4)</f>
        <v/>
      </c>
      <c r="G289" s="2">
        <f>IF(E289="","",IF(COUNTA($E$2:$E$300)&lt;=1,0,PERCENTRANK.INC($E$2:$E$300,E289)))</f>
        <v/>
      </c>
      <c r="H289" s="2">
        <f>IF(G289="","",1-G289)</f>
        <v/>
      </c>
      <c r="I289" s="2">
        <f>Input_Data!I289</f>
        <v/>
      </c>
      <c r="J289" s="2">
        <f>IF(I289="","",IF(COUNTA($I$2:$I$300)&lt;=1,0,PERCENTRANK.INC($I$2:$I$300,I289)))</f>
        <v/>
      </c>
      <c r="K289">
        <f>Input_Data!J289</f>
        <v/>
      </c>
      <c r="L289">
        <f>Input_Data!K289</f>
        <v/>
      </c>
      <c r="M289">
        <f>Input_Data!L289</f>
        <v/>
      </c>
      <c r="N289">
        <f>IF(K289="","",K289-L289)</f>
        <v/>
      </c>
      <c r="O289">
        <f>IF(A289="","",IF(ABS(M289-N289)&lt;=1,"OK","CHECK"))</f>
        <v/>
      </c>
      <c r="P289">
        <f>IF(M289="","",IF(F289=0,99,M289/F289))</f>
        <v/>
      </c>
      <c r="Q289" s="2">
        <f>IF(P289="","",IF(COUNTA($P$2:$P$300)&lt;=1,0,PERCENTRANK.INC($P$2:$P$300,P289)))</f>
        <v/>
      </c>
      <c r="R289" s="2">
        <f>IF(A289="","",0.45*H289+0.35*Q289+0.20*J289)</f>
        <v/>
      </c>
      <c r="S289">
        <f>IF(G289="","",IF(G289&lt;=0.33,"Low Movement",IF(G289&lt;=0.66,"Medium Movement","High Movement")))</f>
        <v/>
      </c>
      <c r="T289">
        <f>IF(R289="","",IF(R289&gt;=0.67,"High Value Bundle",IF(R289&gt;=0.34,"Medium Value Bundle","Low Value Bundle")))</f>
        <v/>
      </c>
      <c r="U289">
        <f>IF(A289="","",IF(AND(G289&gt;=0.70,J289&gt;=0.70,M289&gt;0),"Yes","No"))</f>
        <v/>
      </c>
      <c r="V289">
        <f>IF(A289="","",IF(AND(S289="Low Movement",M289&gt;0,P289&gt;=2),"Yes","No"))</f>
        <v/>
      </c>
      <c r="W289" s="2">
        <f>IF(T289="","",MIN(0.12,IF(T289="High Value Bundle",0.05,IF(T289="Medium Value Bundle",0.07,0.10))+IF(P289&gt;=8,0.02,0)))</f>
        <v/>
      </c>
      <c r="X289">
        <f>IF(U289="Yes",C289&amp;"|anchor","")</f>
        <v/>
      </c>
      <c r="Y289">
        <f>IF(U289="Yes",B289,"")</f>
        <v/>
      </c>
    </row>
    <row r="290">
      <c r="A290">
        <f>Input_Data!C290</f>
        <v/>
      </c>
      <c r="B290">
        <f>Input_Data!A290</f>
        <v/>
      </c>
      <c r="C290">
        <f>Input_Data!B290</f>
        <v/>
      </c>
      <c r="D290">
        <f>Input_Data!D290</f>
        <v/>
      </c>
      <c r="E290">
        <f>IF(A290="","",SUM(Input_Data!E290:H290))</f>
        <v/>
      </c>
      <c r="F290">
        <f>IF(E290="","",E290/4)</f>
        <v/>
      </c>
      <c r="G290" s="2">
        <f>IF(E290="","",IF(COUNTA($E$2:$E$300)&lt;=1,0,PERCENTRANK.INC($E$2:$E$300,E290)))</f>
        <v/>
      </c>
      <c r="H290" s="2">
        <f>IF(G290="","",1-G290)</f>
        <v/>
      </c>
      <c r="I290" s="2">
        <f>Input_Data!I290</f>
        <v/>
      </c>
      <c r="J290" s="2">
        <f>IF(I290="","",IF(COUNTA($I$2:$I$300)&lt;=1,0,PERCENTRANK.INC($I$2:$I$300,I290)))</f>
        <v/>
      </c>
      <c r="K290">
        <f>Input_Data!J290</f>
        <v/>
      </c>
      <c r="L290">
        <f>Input_Data!K290</f>
        <v/>
      </c>
      <c r="M290">
        <f>Input_Data!L290</f>
        <v/>
      </c>
      <c r="N290">
        <f>IF(K290="","",K290-L290)</f>
        <v/>
      </c>
      <c r="O290">
        <f>IF(A290="","",IF(ABS(M290-N290)&lt;=1,"OK","CHECK"))</f>
        <v/>
      </c>
      <c r="P290">
        <f>IF(M290="","",IF(F290=0,99,M290/F290))</f>
        <v/>
      </c>
      <c r="Q290" s="2">
        <f>IF(P290="","",IF(COUNTA($P$2:$P$300)&lt;=1,0,PERCENTRANK.INC($P$2:$P$300,P290)))</f>
        <v/>
      </c>
      <c r="R290" s="2">
        <f>IF(A290="","",0.45*H290+0.35*Q290+0.20*J290)</f>
        <v/>
      </c>
      <c r="S290">
        <f>IF(G290="","",IF(G290&lt;=0.33,"Low Movement",IF(G290&lt;=0.66,"Medium Movement","High Movement")))</f>
        <v/>
      </c>
      <c r="T290">
        <f>IF(R290="","",IF(R290&gt;=0.67,"High Value Bundle",IF(R290&gt;=0.34,"Medium Value Bundle","Low Value Bundle")))</f>
        <v/>
      </c>
      <c r="U290">
        <f>IF(A290="","",IF(AND(G290&gt;=0.70,J290&gt;=0.70,M290&gt;0),"Yes","No"))</f>
        <v/>
      </c>
      <c r="V290">
        <f>IF(A290="","",IF(AND(S290="Low Movement",M290&gt;0,P290&gt;=2),"Yes","No"))</f>
        <v/>
      </c>
      <c r="W290" s="2">
        <f>IF(T290="","",MIN(0.12,IF(T290="High Value Bundle",0.05,IF(T290="Medium Value Bundle",0.07,0.10))+IF(P290&gt;=8,0.02,0)))</f>
        <v/>
      </c>
      <c r="X290">
        <f>IF(U290="Yes",C290&amp;"|anchor","")</f>
        <v/>
      </c>
      <c r="Y290">
        <f>IF(U290="Yes",B290,"")</f>
        <v/>
      </c>
    </row>
    <row r="291">
      <c r="A291">
        <f>Input_Data!C291</f>
        <v/>
      </c>
      <c r="B291">
        <f>Input_Data!A291</f>
        <v/>
      </c>
      <c r="C291">
        <f>Input_Data!B291</f>
        <v/>
      </c>
      <c r="D291">
        <f>Input_Data!D291</f>
        <v/>
      </c>
      <c r="E291">
        <f>IF(A291="","",SUM(Input_Data!E291:H291))</f>
        <v/>
      </c>
      <c r="F291">
        <f>IF(E291="","",E291/4)</f>
        <v/>
      </c>
      <c r="G291" s="2">
        <f>IF(E291="","",IF(COUNTA($E$2:$E$300)&lt;=1,0,PERCENTRANK.INC($E$2:$E$300,E291)))</f>
        <v/>
      </c>
      <c r="H291" s="2">
        <f>IF(G291="","",1-G291)</f>
        <v/>
      </c>
      <c r="I291" s="2">
        <f>Input_Data!I291</f>
        <v/>
      </c>
      <c r="J291" s="2">
        <f>IF(I291="","",IF(COUNTA($I$2:$I$300)&lt;=1,0,PERCENTRANK.INC($I$2:$I$300,I291)))</f>
        <v/>
      </c>
      <c r="K291">
        <f>Input_Data!J291</f>
        <v/>
      </c>
      <c r="L291">
        <f>Input_Data!K291</f>
        <v/>
      </c>
      <c r="M291">
        <f>Input_Data!L291</f>
        <v/>
      </c>
      <c r="N291">
        <f>IF(K291="","",K291-L291)</f>
        <v/>
      </c>
      <c r="O291">
        <f>IF(A291="","",IF(ABS(M291-N291)&lt;=1,"OK","CHECK"))</f>
        <v/>
      </c>
      <c r="P291">
        <f>IF(M291="","",IF(F291=0,99,M291/F291))</f>
        <v/>
      </c>
      <c r="Q291" s="2">
        <f>IF(P291="","",IF(COUNTA($P$2:$P$300)&lt;=1,0,PERCENTRANK.INC($P$2:$P$300,P291)))</f>
        <v/>
      </c>
      <c r="R291" s="2">
        <f>IF(A291="","",0.45*H291+0.35*Q291+0.20*J291)</f>
        <v/>
      </c>
      <c r="S291">
        <f>IF(G291="","",IF(G291&lt;=0.33,"Low Movement",IF(G291&lt;=0.66,"Medium Movement","High Movement")))</f>
        <v/>
      </c>
      <c r="T291">
        <f>IF(R291="","",IF(R291&gt;=0.67,"High Value Bundle",IF(R291&gt;=0.34,"Medium Value Bundle","Low Value Bundle")))</f>
        <v/>
      </c>
      <c r="U291">
        <f>IF(A291="","",IF(AND(G291&gt;=0.70,J291&gt;=0.70,M291&gt;0),"Yes","No"))</f>
        <v/>
      </c>
      <c r="V291">
        <f>IF(A291="","",IF(AND(S291="Low Movement",M291&gt;0,P291&gt;=2),"Yes","No"))</f>
        <v/>
      </c>
      <c r="W291" s="2">
        <f>IF(T291="","",MIN(0.12,IF(T291="High Value Bundle",0.05,IF(T291="Medium Value Bundle",0.07,0.10))+IF(P291&gt;=8,0.02,0)))</f>
        <v/>
      </c>
      <c r="X291">
        <f>IF(U291="Yes",C291&amp;"|anchor","")</f>
        <v/>
      </c>
      <c r="Y291">
        <f>IF(U291="Yes",B291,"")</f>
        <v/>
      </c>
    </row>
    <row r="292">
      <c r="A292">
        <f>Input_Data!C292</f>
        <v/>
      </c>
      <c r="B292">
        <f>Input_Data!A292</f>
        <v/>
      </c>
      <c r="C292">
        <f>Input_Data!B292</f>
        <v/>
      </c>
      <c r="D292">
        <f>Input_Data!D292</f>
        <v/>
      </c>
      <c r="E292">
        <f>IF(A292="","",SUM(Input_Data!E292:H292))</f>
        <v/>
      </c>
      <c r="F292">
        <f>IF(E292="","",E292/4)</f>
        <v/>
      </c>
      <c r="G292" s="2">
        <f>IF(E292="","",IF(COUNTA($E$2:$E$300)&lt;=1,0,PERCENTRANK.INC($E$2:$E$300,E292)))</f>
        <v/>
      </c>
      <c r="H292" s="2">
        <f>IF(G292="","",1-G292)</f>
        <v/>
      </c>
      <c r="I292" s="2">
        <f>Input_Data!I292</f>
        <v/>
      </c>
      <c r="J292" s="2">
        <f>IF(I292="","",IF(COUNTA($I$2:$I$300)&lt;=1,0,PERCENTRANK.INC($I$2:$I$300,I292)))</f>
        <v/>
      </c>
      <c r="K292">
        <f>Input_Data!J292</f>
        <v/>
      </c>
      <c r="L292">
        <f>Input_Data!K292</f>
        <v/>
      </c>
      <c r="M292">
        <f>Input_Data!L292</f>
        <v/>
      </c>
      <c r="N292">
        <f>IF(K292="","",K292-L292)</f>
        <v/>
      </c>
      <c r="O292">
        <f>IF(A292="","",IF(ABS(M292-N292)&lt;=1,"OK","CHECK"))</f>
        <v/>
      </c>
      <c r="P292">
        <f>IF(M292="","",IF(F292=0,99,M292/F292))</f>
        <v/>
      </c>
      <c r="Q292" s="2">
        <f>IF(P292="","",IF(COUNTA($P$2:$P$300)&lt;=1,0,PERCENTRANK.INC($P$2:$P$300,P292)))</f>
        <v/>
      </c>
      <c r="R292" s="2">
        <f>IF(A292="","",0.45*H292+0.35*Q292+0.20*J292)</f>
        <v/>
      </c>
      <c r="S292">
        <f>IF(G292="","",IF(G292&lt;=0.33,"Low Movement",IF(G292&lt;=0.66,"Medium Movement","High Movement")))</f>
        <v/>
      </c>
      <c r="T292">
        <f>IF(R292="","",IF(R292&gt;=0.67,"High Value Bundle",IF(R292&gt;=0.34,"Medium Value Bundle","Low Value Bundle")))</f>
        <v/>
      </c>
      <c r="U292">
        <f>IF(A292="","",IF(AND(G292&gt;=0.70,J292&gt;=0.70,M292&gt;0),"Yes","No"))</f>
        <v/>
      </c>
      <c r="V292">
        <f>IF(A292="","",IF(AND(S292="Low Movement",M292&gt;0,P292&gt;=2),"Yes","No"))</f>
        <v/>
      </c>
      <c r="W292" s="2">
        <f>IF(T292="","",MIN(0.12,IF(T292="High Value Bundle",0.05,IF(T292="Medium Value Bundle",0.07,0.10))+IF(P292&gt;=8,0.02,0)))</f>
        <v/>
      </c>
      <c r="X292">
        <f>IF(U292="Yes",C292&amp;"|anchor","")</f>
        <v/>
      </c>
      <c r="Y292">
        <f>IF(U292="Yes",B292,"")</f>
        <v/>
      </c>
    </row>
    <row r="293">
      <c r="A293">
        <f>Input_Data!C293</f>
        <v/>
      </c>
      <c r="B293">
        <f>Input_Data!A293</f>
        <v/>
      </c>
      <c r="C293">
        <f>Input_Data!B293</f>
        <v/>
      </c>
      <c r="D293">
        <f>Input_Data!D293</f>
        <v/>
      </c>
      <c r="E293">
        <f>IF(A293="","",SUM(Input_Data!E293:H293))</f>
        <v/>
      </c>
      <c r="F293">
        <f>IF(E293="","",E293/4)</f>
        <v/>
      </c>
      <c r="G293" s="2">
        <f>IF(E293="","",IF(COUNTA($E$2:$E$300)&lt;=1,0,PERCENTRANK.INC($E$2:$E$300,E293)))</f>
        <v/>
      </c>
      <c r="H293" s="2">
        <f>IF(G293="","",1-G293)</f>
        <v/>
      </c>
      <c r="I293" s="2">
        <f>Input_Data!I293</f>
        <v/>
      </c>
      <c r="J293" s="2">
        <f>IF(I293="","",IF(COUNTA($I$2:$I$300)&lt;=1,0,PERCENTRANK.INC($I$2:$I$300,I293)))</f>
        <v/>
      </c>
      <c r="K293">
        <f>Input_Data!J293</f>
        <v/>
      </c>
      <c r="L293">
        <f>Input_Data!K293</f>
        <v/>
      </c>
      <c r="M293">
        <f>Input_Data!L293</f>
        <v/>
      </c>
      <c r="N293">
        <f>IF(K293="","",K293-L293)</f>
        <v/>
      </c>
      <c r="O293">
        <f>IF(A293="","",IF(ABS(M293-N293)&lt;=1,"OK","CHECK"))</f>
        <v/>
      </c>
      <c r="P293">
        <f>IF(M293="","",IF(F293=0,99,M293/F293))</f>
        <v/>
      </c>
      <c r="Q293" s="2">
        <f>IF(P293="","",IF(COUNTA($P$2:$P$300)&lt;=1,0,PERCENTRANK.INC($P$2:$P$300,P293)))</f>
        <v/>
      </c>
      <c r="R293" s="2">
        <f>IF(A293="","",0.45*H293+0.35*Q293+0.20*J293)</f>
        <v/>
      </c>
      <c r="S293">
        <f>IF(G293="","",IF(G293&lt;=0.33,"Low Movement",IF(G293&lt;=0.66,"Medium Movement","High Movement")))</f>
        <v/>
      </c>
      <c r="T293">
        <f>IF(R293="","",IF(R293&gt;=0.67,"High Value Bundle",IF(R293&gt;=0.34,"Medium Value Bundle","Low Value Bundle")))</f>
        <v/>
      </c>
      <c r="U293">
        <f>IF(A293="","",IF(AND(G293&gt;=0.70,J293&gt;=0.70,M293&gt;0),"Yes","No"))</f>
        <v/>
      </c>
      <c r="V293">
        <f>IF(A293="","",IF(AND(S293="Low Movement",M293&gt;0,P293&gt;=2),"Yes","No"))</f>
        <v/>
      </c>
      <c r="W293" s="2">
        <f>IF(T293="","",MIN(0.12,IF(T293="High Value Bundle",0.05,IF(T293="Medium Value Bundle",0.07,0.10))+IF(P293&gt;=8,0.02,0)))</f>
        <v/>
      </c>
      <c r="X293">
        <f>IF(U293="Yes",C293&amp;"|anchor","")</f>
        <v/>
      </c>
      <c r="Y293">
        <f>IF(U293="Yes",B293,"")</f>
        <v/>
      </c>
    </row>
    <row r="294">
      <c r="A294">
        <f>Input_Data!C294</f>
        <v/>
      </c>
      <c r="B294">
        <f>Input_Data!A294</f>
        <v/>
      </c>
      <c r="C294">
        <f>Input_Data!B294</f>
        <v/>
      </c>
      <c r="D294">
        <f>Input_Data!D294</f>
        <v/>
      </c>
      <c r="E294">
        <f>IF(A294="","",SUM(Input_Data!E294:H294))</f>
        <v/>
      </c>
      <c r="F294">
        <f>IF(E294="","",E294/4)</f>
        <v/>
      </c>
      <c r="G294" s="2">
        <f>IF(E294="","",IF(COUNTA($E$2:$E$300)&lt;=1,0,PERCENTRANK.INC($E$2:$E$300,E294)))</f>
        <v/>
      </c>
      <c r="H294" s="2">
        <f>IF(G294="","",1-G294)</f>
        <v/>
      </c>
      <c r="I294" s="2">
        <f>Input_Data!I294</f>
        <v/>
      </c>
      <c r="J294" s="2">
        <f>IF(I294="","",IF(COUNTA($I$2:$I$300)&lt;=1,0,PERCENTRANK.INC($I$2:$I$300,I294)))</f>
        <v/>
      </c>
      <c r="K294">
        <f>Input_Data!J294</f>
        <v/>
      </c>
      <c r="L294">
        <f>Input_Data!K294</f>
        <v/>
      </c>
      <c r="M294">
        <f>Input_Data!L294</f>
        <v/>
      </c>
      <c r="N294">
        <f>IF(K294="","",K294-L294)</f>
        <v/>
      </c>
      <c r="O294">
        <f>IF(A294="","",IF(ABS(M294-N294)&lt;=1,"OK","CHECK"))</f>
        <v/>
      </c>
      <c r="P294">
        <f>IF(M294="","",IF(F294=0,99,M294/F294))</f>
        <v/>
      </c>
      <c r="Q294" s="2">
        <f>IF(P294="","",IF(COUNTA($P$2:$P$300)&lt;=1,0,PERCENTRANK.INC($P$2:$P$300,P294)))</f>
        <v/>
      </c>
      <c r="R294" s="2">
        <f>IF(A294="","",0.45*H294+0.35*Q294+0.20*J294)</f>
        <v/>
      </c>
      <c r="S294">
        <f>IF(G294="","",IF(G294&lt;=0.33,"Low Movement",IF(G294&lt;=0.66,"Medium Movement","High Movement")))</f>
        <v/>
      </c>
      <c r="T294">
        <f>IF(R294="","",IF(R294&gt;=0.67,"High Value Bundle",IF(R294&gt;=0.34,"Medium Value Bundle","Low Value Bundle")))</f>
        <v/>
      </c>
      <c r="U294">
        <f>IF(A294="","",IF(AND(G294&gt;=0.70,J294&gt;=0.70,M294&gt;0),"Yes","No"))</f>
        <v/>
      </c>
      <c r="V294">
        <f>IF(A294="","",IF(AND(S294="Low Movement",M294&gt;0,P294&gt;=2),"Yes","No"))</f>
        <v/>
      </c>
      <c r="W294" s="2">
        <f>IF(T294="","",MIN(0.12,IF(T294="High Value Bundle",0.05,IF(T294="Medium Value Bundle",0.07,0.10))+IF(P294&gt;=8,0.02,0)))</f>
        <v/>
      </c>
      <c r="X294">
        <f>IF(U294="Yes",C294&amp;"|anchor","")</f>
        <v/>
      </c>
      <c r="Y294">
        <f>IF(U294="Yes",B294,"")</f>
        <v/>
      </c>
    </row>
    <row r="295">
      <c r="A295">
        <f>Input_Data!C295</f>
        <v/>
      </c>
      <c r="B295">
        <f>Input_Data!A295</f>
        <v/>
      </c>
      <c r="C295">
        <f>Input_Data!B295</f>
        <v/>
      </c>
      <c r="D295">
        <f>Input_Data!D295</f>
        <v/>
      </c>
      <c r="E295">
        <f>IF(A295="","",SUM(Input_Data!E295:H295))</f>
        <v/>
      </c>
      <c r="F295">
        <f>IF(E295="","",E295/4)</f>
        <v/>
      </c>
      <c r="G295" s="2">
        <f>IF(E295="","",IF(COUNTA($E$2:$E$300)&lt;=1,0,PERCENTRANK.INC($E$2:$E$300,E295)))</f>
        <v/>
      </c>
      <c r="H295" s="2">
        <f>IF(G295="","",1-G295)</f>
        <v/>
      </c>
      <c r="I295" s="2">
        <f>Input_Data!I295</f>
        <v/>
      </c>
      <c r="J295" s="2">
        <f>IF(I295="","",IF(COUNTA($I$2:$I$300)&lt;=1,0,PERCENTRANK.INC($I$2:$I$300,I295)))</f>
        <v/>
      </c>
      <c r="K295">
        <f>Input_Data!J295</f>
        <v/>
      </c>
      <c r="L295">
        <f>Input_Data!K295</f>
        <v/>
      </c>
      <c r="M295">
        <f>Input_Data!L295</f>
        <v/>
      </c>
      <c r="N295">
        <f>IF(K295="","",K295-L295)</f>
        <v/>
      </c>
      <c r="O295">
        <f>IF(A295="","",IF(ABS(M295-N295)&lt;=1,"OK","CHECK"))</f>
        <v/>
      </c>
      <c r="P295">
        <f>IF(M295="","",IF(F295=0,99,M295/F295))</f>
        <v/>
      </c>
      <c r="Q295" s="2">
        <f>IF(P295="","",IF(COUNTA($P$2:$P$300)&lt;=1,0,PERCENTRANK.INC($P$2:$P$300,P295)))</f>
        <v/>
      </c>
      <c r="R295" s="2">
        <f>IF(A295="","",0.45*H295+0.35*Q295+0.20*J295)</f>
        <v/>
      </c>
      <c r="S295">
        <f>IF(G295="","",IF(G295&lt;=0.33,"Low Movement",IF(G295&lt;=0.66,"Medium Movement","High Movement")))</f>
        <v/>
      </c>
      <c r="T295">
        <f>IF(R295="","",IF(R295&gt;=0.67,"High Value Bundle",IF(R295&gt;=0.34,"Medium Value Bundle","Low Value Bundle")))</f>
        <v/>
      </c>
      <c r="U295">
        <f>IF(A295="","",IF(AND(G295&gt;=0.70,J295&gt;=0.70,M295&gt;0),"Yes","No"))</f>
        <v/>
      </c>
      <c r="V295">
        <f>IF(A295="","",IF(AND(S295="Low Movement",M295&gt;0,P295&gt;=2),"Yes","No"))</f>
        <v/>
      </c>
      <c r="W295" s="2">
        <f>IF(T295="","",MIN(0.12,IF(T295="High Value Bundle",0.05,IF(T295="Medium Value Bundle",0.07,0.10))+IF(P295&gt;=8,0.02,0)))</f>
        <v/>
      </c>
      <c r="X295">
        <f>IF(U295="Yes",C295&amp;"|anchor","")</f>
        <v/>
      </c>
      <c r="Y295">
        <f>IF(U295="Yes",B295,"")</f>
        <v/>
      </c>
    </row>
    <row r="296">
      <c r="A296">
        <f>Input_Data!C296</f>
        <v/>
      </c>
      <c r="B296">
        <f>Input_Data!A296</f>
        <v/>
      </c>
      <c r="C296">
        <f>Input_Data!B296</f>
        <v/>
      </c>
      <c r="D296">
        <f>Input_Data!D296</f>
        <v/>
      </c>
      <c r="E296">
        <f>IF(A296="","",SUM(Input_Data!E296:H296))</f>
        <v/>
      </c>
      <c r="F296">
        <f>IF(E296="","",E296/4)</f>
        <v/>
      </c>
      <c r="G296" s="2">
        <f>IF(E296="","",IF(COUNTA($E$2:$E$300)&lt;=1,0,PERCENTRANK.INC($E$2:$E$300,E296)))</f>
        <v/>
      </c>
      <c r="H296" s="2">
        <f>IF(G296="","",1-G296)</f>
        <v/>
      </c>
      <c r="I296" s="2">
        <f>Input_Data!I296</f>
        <v/>
      </c>
      <c r="J296" s="2">
        <f>IF(I296="","",IF(COUNTA($I$2:$I$300)&lt;=1,0,PERCENTRANK.INC($I$2:$I$300,I296)))</f>
        <v/>
      </c>
      <c r="K296">
        <f>Input_Data!J296</f>
        <v/>
      </c>
      <c r="L296">
        <f>Input_Data!K296</f>
        <v/>
      </c>
      <c r="M296">
        <f>Input_Data!L296</f>
        <v/>
      </c>
      <c r="N296">
        <f>IF(K296="","",K296-L296)</f>
        <v/>
      </c>
      <c r="O296">
        <f>IF(A296="","",IF(ABS(M296-N296)&lt;=1,"OK","CHECK"))</f>
        <v/>
      </c>
      <c r="P296">
        <f>IF(M296="","",IF(F296=0,99,M296/F296))</f>
        <v/>
      </c>
      <c r="Q296" s="2">
        <f>IF(P296="","",IF(COUNTA($P$2:$P$300)&lt;=1,0,PERCENTRANK.INC($P$2:$P$300,P296)))</f>
        <v/>
      </c>
      <c r="R296" s="2">
        <f>IF(A296="","",0.45*H296+0.35*Q296+0.20*J296)</f>
        <v/>
      </c>
      <c r="S296">
        <f>IF(G296="","",IF(G296&lt;=0.33,"Low Movement",IF(G296&lt;=0.66,"Medium Movement","High Movement")))</f>
        <v/>
      </c>
      <c r="T296">
        <f>IF(R296="","",IF(R296&gt;=0.67,"High Value Bundle",IF(R296&gt;=0.34,"Medium Value Bundle","Low Value Bundle")))</f>
        <v/>
      </c>
      <c r="U296">
        <f>IF(A296="","",IF(AND(G296&gt;=0.70,J296&gt;=0.70,M296&gt;0),"Yes","No"))</f>
        <v/>
      </c>
      <c r="V296">
        <f>IF(A296="","",IF(AND(S296="Low Movement",M296&gt;0,P296&gt;=2),"Yes","No"))</f>
        <v/>
      </c>
      <c r="W296" s="2">
        <f>IF(T296="","",MIN(0.12,IF(T296="High Value Bundle",0.05,IF(T296="Medium Value Bundle",0.07,0.10))+IF(P296&gt;=8,0.02,0)))</f>
        <v/>
      </c>
      <c r="X296">
        <f>IF(U296="Yes",C296&amp;"|anchor","")</f>
        <v/>
      </c>
      <c r="Y296">
        <f>IF(U296="Yes",B296,"")</f>
        <v/>
      </c>
    </row>
    <row r="297">
      <c r="A297">
        <f>Input_Data!C297</f>
        <v/>
      </c>
      <c r="B297">
        <f>Input_Data!A297</f>
        <v/>
      </c>
      <c r="C297">
        <f>Input_Data!B297</f>
        <v/>
      </c>
      <c r="D297">
        <f>Input_Data!D297</f>
        <v/>
      </c>
      <c r="E297">
        <f>IF(A297="","",SUM(Input_Data!E297:H297))</f>
        <v/>
      </c>
      <c r="F297">
        <f>IF(E297="","",E297/4)</f>
        <v/>
      </c>
      <c r="G297" s="2">
        <f>IF(E297="","",IF(COUNTA($E$2:$E$300)&lt;=1,0,PERCENTRANK.INC($E$2:$E$300,E297)))</f>
        <v/>
      </c>
      <c r="H297" s="2">
        <f>IF(G297="","",1-G297)</f>
        <v/>
      </c>
      <c r="I297" s="2">
        <f>Input_Data!I297</f>
        <v/>
      </c>
      <c r="J297" s="2">
        <f>IF(I297="","",IF(COUNTA($I$2:$I$300)&lt;=1,0,PERCENTRANK.INC($I$2:$I$300,I297)))</f>
        <v/>
      </c>
      <c r="K297">
        <f>Input_Data!J297</f>
        <v/>
      </c>
      <c r="L297">
        <f>Input_Data!K297</f>
        <v/>
      </c>
      <c r="M297">
        <f>Input_Data!L297</f>
        <v/>
      </c>
      <c r="N297">
        <f>IF(K297="","",K297-L297)</f>
        <v/>
      </c>
      <c r="O297">
        <f>IF(A297="","",IF(ABS(M297-N297)&lt;=1,"OK","CHECK"))</f>
        <v/>
      </c>
      <c r="P297">
        <f>IF(M297="","",IF(F297=0,99,M297/F297))</f>
        <v/>
      </c>
      <c r="Q297" s="2">
        <f>IF(P297="","",IF(COUNTA($P$2:$P$300)&lt;=1,0,PERCENTRANK.INC($P$2:$P$300,P297)))</f>
        <v/>
      </c>
      <c r="R297" s="2">
        <f>IF(A297="","",0.45*H297+0.35*Q297+0.20*J297)</f>
        <v/>
      </c>
      <c r="S297">
        <f>IF(G297="","",IF(G297&lt;=0.33,"Low Movement",IF(G297&lt;=0.66,"Medium Movement","High Movement")))</f>
        <v/>
      </c>
      <c r="T297">
        <f>IF(R297="","",IF(R297&gt;=0.67,"High Value Bundle",IF(R297&gt;=0.34,"Medium Value Bundle","Low Value Bundle")))</f>
        <v/>
      </c>
      <c r="U297">
        <f>IF(A297="","",IF(AND(G297&gt;=0.70,J297&gt;=0.70,M297&gt;0),"Yes","No"))</f>
        <v/>
      </c>
      <c r="V297">
        <f>IF(A297="","",IF(AND(S297="Low Movement",M297&gt;0,P297&gt;=2),"Yes","No"))</f>
        <v/>
      </c>
      <c r="W297" s="2">
        <f>IF(T297="","",MIN(0.12,IF(T297="High Value Bundle",0.05,IF(T297="Medium Value Bundle",0.07,0.10))+IF(P297&gt;=8,0.02,0)))</f>
        <v/>
      </c>
      <c r="X297">
        <f>IF(U297="Yes",C297&amp;"|anchor","")</f>
        <v/>
      </c>
      <c r="Y297">
        <f>IF(U297="Yes",B297,"")</f>
        <v/>
      </c>
    </row>
    <row r="298">
      <c r="A298">
        <f>Input_Data!C298</f>
        <v/>
      </c>
      <c r="B298">
        <f>Input_Data!A298</f>
        <v/>
      </c>
      <c r="C298">
        <f>Input_Data!B298</f>
        <v/>
      </c>
      <c r="D298">
        <f>Input_Data!D298</f>
        <v/>
      </c>
      <c r="E298">
        <f>IF(A298="","",SUM(Input_Data!E298:H298))</f>
        <v/>
      </c>
      <c r="F298">
        <f>IF(E298="","",E298/4)</f>
        <v/>
      </c>
      <c r="G298" s="2">
        <f>IF(E298="","",IF(COUNTA($E$2:$E$300)&lt;=1,0,PERCENTRANK.INC($E$2:$E$300,E298)))</f>
        <v/>
      </c>
      <c r="H298" s="2">
        <f>IF(G298="","",1-G298)</f>
        <v/>
      </c>
      <c r="I298" s="2">
        <f>Input_Data!I298</f>
        <v/>
      </c>
      <c r="J298" s="2">
        <f>IF(I298="","",IF(COUNTA($I$2:$I$300)&lt;=1,0,PERCENTRANK.INC($I$2:$I$300,I298)))</f>
        <v/>
      </c>
      <c r="K298">
        <f>Input_Data!J298</f>
        <v/>
      </c>
      <c r="L298">
        <f>Input_Data!K298</f>
        <v/>
      </c>
      <c r="M298">
        <f>Input_Data!L298</f>
        <v/>
      </c>
      <c r="N298">
        <f>IF(K298="","",K298-L298)</f>
        <v/>
      </c>
      <c r="O298">
        <f>IF(A298="","",IF(ABS(M298-N298)&lt;=1,"OK","CHECK"))</f>
        <v/>
      </c>
      <c r="P298">
        <f>IF(M298="","",IF(F298=0,99,M298/F298))</f>
        <v/>
      </c>
      <c r="Q298" s="2">
        <f>IF(P298="","",IF(COUNTA($P$2:$P$300)&lt;=1,0,PERCENTRANK.INC($P$2:$P$300,P298)))</f>
        <v/>
      </c>
      <c r="R298" s="2">
        <f>IF(A298="","",0.45*H298+0.35*Q298+0.20*J298)</f>
        <v/>
      </c>
      <c r="S298">
        <f>IF(G298="","",IF(G298&lt;=0.33,"Low Movement",IF(G298&lt;=0.66,"Medium Movement","High Movement")))</f>
        <v/>
      </c>
      <c r="T298">
        <f>IF(R298="","",IF(R298&gt;=0.67,"High Value Bundle",IF(R298&gt;=0.34,"Medium Value Bundle","Low Value Bundle")))</f>
        <v/>
      </c>
      <c r="U298">
        <f>IF(A298="","",IF(AND(G298&gt;=0.70,J298&gt;=0.70,M298&gt;0),"Yes","No"))</f>
        <v/>
      </c>
      <c r="V298">
        <f>IF(A298="","",IF(AND(S298="Low Movement",M298&gt;0,P298&gt;=2),"Yes","No"))</f>
        <v/>
      </c>
      <c r="W298" s="2">
        <f>IF(T298="","",MIN(0.12,IF(T298="High Value Bundle",0.05,IF(T298="Medium Value Bundle",0.07,0.10))+IF(P298&gt;=8,0.02,0)))</f>
        <v/>
      </c>
      <c r="X298">
        <f>IF(U298="Yes",C298&amp;"|anchor","")</f>
        <v/>
      </c>
      <c r="Y298">
        <f>IF(U298="Yes",B298,"")</f>
        <v/>
      </c>
    </row>
    <row r="299">
      <c r="A299">
        <f>Input_Data!C299</f>
        <v/>
      </c>
      <c r="B299">
        <f>Input_Data!A299</f>
        <v/>
      </c>
      <c r="C299">
        <f>Input_Data!B299</f>
        <v/>
      </c>
      <c r="D299">
        <f>Input_Data!D299</f>
        <v/>
      </c>
      <c r="E299">
        <f>IF(A299="","",SUM(Input_Data!E299:H299))</f>
        <v/>
      </c>
      <c r="F299">
        <f>IF(E299="","",E299/4)</f>
        <v/>
      </c>
      <c r="G299" s="2">
        <f>IF(E299="","",IF(COUNTA($E$2:$E$300)&lt;=1,0,PERCENTRANK.INC($E$2:$E$300,E299)))</f>
        <v/>
      </c>
      <c r="H299" s="2">
        <f>IF(G299="","",1-G299)</f>
        <v/>
      </c>
      <c r="I299" s="2">
        <f>Input_Data!I299</f>
        <v/>
      </c>
      <c r="J299" s="2">
        <f>IF(I299="","",IF(COUNTA($I$2:$I$300)&lt;=1,0,PERCENTRANK.INC($I$2:$I$300,I299)))</f>
        <v/>
      </c>
      <c r="K299">
        <f>Input_Data!J299</f>
        <v/>
      </c>
      <c r="L299">
        <f>Input_Data!K299</f>
        <v/>
      </c>
      <c r="M299">
        <f>Input_Data!L299</f>
        <v/>
      </c>
      <c r="N299">
        <f>IF(K299="","",K299-L299)</f>
        <v/>
      </c>
      <c r="O299">
        <f>IF(A299="","",IF(ABS(M299-N299)&lt;=1,"OK","CHECK"))</f>
        <v/>
      </c>
      <c r="P299">
        <f>IF(M299="","",IF(F299=0,99,M299/F299))</f>
        <v/>
      </c>
      <c r="Q299" s="2">
        <f>IF(P299="","",IF(COUNTA($P$2:$P$300)&lt;=1,0,PERCENTRANK.INC($P$2:$P$300,P299)))</f>
        <v/>
      </c>
      <c r="R299" s="2">
        <f>IF(A299="","",0.45*H299+0.35*Q299+0.20*J299)</f>
        <v/>
      </c>
      <c r="S299">
        <f>IF(G299="","",IF(G299&lt;=0.33,"Low Movement",IF(G299&lt;=0.66,"Medium Movement","High Movement")))</f>
        <v/>
      </c>
      <c r="T299">
        <f>IF(R299="","",IF(R299&gt;=0.67,"High Value Bundle",IF(R299&gt;=0.34,"Medium Value Bundle","Low Value Bundle")))</f>
        <v/>
      </c>
      <c r="U299">
        <f>IF(A299="","",IF(AND(G299&gt;=0.70,J299&gt;=0.70,M299&gt;0),"Yes","No"))</f>
        <v/>
      </c>
      <c r="V299">
        <f>IF(A299="","",IF(AND(S299="Low Movement",M299&gt;0,P299&gt;=2),"Yes","No"))</f>
        <v/>
      </c>
      <c r="W299" s="2">
        <f>IF(T299="","",MIN(0.12,IF(T299="High Value Bundle",0.05,IF(T299="Medium Value Bundle",0.07,0.10))+IF(P299&gt;=8,0.02,0)))</f>
        <v/>
      </c>
      <c r="X299">
        <f>IF(U299="Yes",C299&amp;"|anchor","")</f>
        <v/>
      </c>
      <c r="Y299">
        <f>IF(U299="Yes",B299,"")</f>
        <v/>
      </c>
    </row>
    <row r="300">
      <c r="A300">
        <f>Input_Data!C300</f>
        <v/>
      </c>
      <c r="B300">
        <f>Input_Data!A300</f>
        <v/>
      </c>
      <c r="C300">
        <f>Input_Data!B300</f>
        <v/>
      </c>
      <c r="D300">
        <f>Input_Data!D300</f>
        <v/>
      </c>
      <c r="E300">
        <f>IF(A300="","",SUM(Input_Data!E300:H300))</f>
        <v/>
      </c>
      <c r="F300">
        <f>IF(E300="","",E300/4)</f>
        <v/>
      </c>
      <c r="G300" s="2">
        <f>IF(E300="","",IF(COUNTA($E$2:$E$300)&lt;=1,0,PERCENTRANK.INC($E$2:$E$300,E300)))</f>
        <v/>
      </c>
      <c r="H300" s="2">
        <f>IF(G300="","",1-G300)</f>
        <v/>
      </c>
      <c r="I300" s="2">
        <f>Input_Data!I300</f>
        <v/>
      </c>
      <c r="J300" s="2">
        <f>IF(I300="","",IF(COUNTA($I$2:$I$300)&lt;=1,0,PERCENTRANK.INC($I$2:$I$300,I300)))</f>
        <v/>
      </c>
      <c r="K300">
        <f>Input_Data!J300</f>
        <v/>
      </c>
      <c r="L300">
        <f>Input_Data!K300</f>
        <v/>
      </c>
      <c r="M300">
        <f>Input_Data!L300</f>
        <v/>
      </c>
      <c r="N300">
        <f>IF(K300="","",K300-L300)</f>
        <v/>
      </c>
      <c r="O300">
        <f>IF(A300="","",IF(ABS(M300-N300)&lt;=1,"OK","CHECK"))</f>
        <v/>
      </c>
      <c r="P300">
        <f>IF(M300="","",IF(F300=0,99,M300/F300))</f>
        <v/>
      </c>
      <c r="Q300" s="2">
        <f>IF(P300="","",IF(COUNTA($P$2:$P$300)&lt;=1,0,PERCENTRANK.INC($P$2:$P$300,P300)))</f>
        <v/>
      </c>
      <c r="R300" s="2">
        <f>IF(A300="","",0.45*H300+0.35*Q300+0.20*J300)</f>
        <v/>
      </c>
      <c r="S300">
        <f>IF(G300="","",IF(G300&lt;=0.33,"Low Movement",IF(G300&lt;=0.66,"Medium Movement","High Movement")))</f>
        <v/>
      </c>
      <c r="T300">
        <f>IF(R300="","",IF(R300&gt;=0.67,"High Value Bundle",IF(R300&gt;=0.34,"Medium Value Bundle","Low Value Bundle")))</f>
        <v/>
      </c>
      <c r="U300">
        <f>IF(A300="","",IF(AND(G300&gt;=0.70,J300&gt;=0.70,M300&gt;0),"Yes","No"))</f>
        <v/>
      </c>
      <c r="V300">
        <f>IF(A300="","",IF(AND(S300="Low Movement",M300&gt;0,P300&gt;=2),"Yes","No"))</f>
        <v/>
      </c>
      <c r="W300" s="2">
        <f>IF(T300="","",MIN(0.12,IF(T300="High Value Bundle",0.05,IF(T300="Medium Value Bundle",0.07,0.10))+IF(P300&gt;=8,0.02,0)))</f>
        <v/>
      </c>
      <c r="X300">
        <f>IF(U300="Yes",C300&amp;"|anchor","")</f>
        <v/>
      </c>
      <c r="Y300">
        <f>IF(U300="Yes",B300,"")</f>
        <v/>
      </c>
    </row>
    <row r="301"/>
  </sheetData>
  <autoFilter ref="A1:Y300"/>
  <conditionalFormatting sqref="T2:T300">
    <cfRule type="expression" priority="1" dxfId="0">
      <formula>$T2="High Value Bundle"</formula>
    </cfRule>
    <cfRule type="expression" priority="2" dxfId="1">
      <formula>$T2="Medium Value Bundle"</formula>
    </cfRule>
    <cfRule type="expression" priority="3" dxfId="2">
      <formula>$T2="Low Value Bundle"</formula>
    </cfRule>
  </conditionalFormatting>
  <conditionalFormatting sqref="O2:O300">
    <cfRule type="expression" priority="4" dxfId="3">
      <formula>$O2="CHECK"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0" customWidth="1" min="4" max="4"/>
    <col width="18" customWidth="1" min="5" max="5"/>
    <col width="20" customWidth="1" min="6" max="6"/>
    <col width="14" customWidth="1" min="7" max="7"/>
    <col width="21" customWidth="1" min="8" max="8"/>
    <col width="30" customWidth="1" min="9" max="9"/>
    <col width="18" customWidth="1" min="10" max="10"/>
    <col width="34" customWidth="1" min="11" max="11"/>
    <col width="52" customWidth="1" min="12" max="12"/>
  </cols>
  <sheetData>
    <row r="1">
      <c r="A1" s="1" t="inlineStr">
        <is>
          <t>bundle_id</t>
        </is>
      </c>
      <c r="B1" s="1" t="inlineStr">
        <is>
          <t>product_id</t>
        </is>
      </c>
      <c r="C1" s="1" t="inlineStr">
        <is>
          <t>slow_mover_product</t>
        </is>
      </c>
      <c r="D1" s="1" t="inlineStr">
        <is>
          <t>category</t>
        </is>
      </c>
      <c r="E1" s="1" t="inlineStr">
        <is>
          <t>movement_band</t>
        </is>
      </c>
      <c r="F1" s="1" t="inlineStr">
        <is>
          <t>bundle_value_cluster</t>
        </is>
      </c>
      <c r="G1" s="1" t="inlineStr">
        <is>
          <t>priority_score</t>
        </is>
      </c>
      <c r="H1" s="1" t="inlineStr">
        <is>
          <t>stock_coverage_months</t>
        </is>
      </c>
      <c r="I1" s="1" t="inlineStr">
        <is>
          <t>recommended_anchor_product</t>
        </is>
      </c>
      <c r="J1" s="1" t="inlineStr">
        <is>
          <t>suggested_discount_%</t>
        </is>
      </c>
      <c r="K1" s="1" t="inlineStr">
        <is>
          <t>bundle_structure</t>
        </is>
      </c>
      <c r="L1" s="1" t="inlineStr">
        <is>
          <t>action_note</t>
        </is>
      </c>
    </row>
    <row r="2">
      <c r="A2">
        <f>IF(Scoring_Model!V2&lt;&gt;"Yes","","RB-"&amp;TEXT(COUNTIF(Scoring_Model!$V$2:$V2,"Yes"),"000000"))</f>
        <v/>
      </c>
      <c r="B2">
        <f>Scoring_Model!A2</f>
        <v/>
      </c>
      <c r="C2">
        <f>Scoring_Model!B2</f>
        <v/>
      </c>
      <c r="D2">
        <f>Scoring_Model!C2</f>
        <v/>
      </c>
      <c r="E2">
        <f>Scoring_Model!S2</f>
        <v/>
      </c>
      <c r="F2">
        <f>Scoring_Model!T2</f>
        <v/>
      </c>
      <c r="G2" s="2">
        <f>Scoring_Model!R2</f>
        <v/>
      </c>
      <c r="H2">
        <f>Scoring_Model!P2</f>
        <v/>
      </c>
      <c r="I2">
        <f>IF(Scoring_Model!V2&lt;&gt;"Yes","",IFERROR(XLOOKUP(D2&amp;"|anchor",Scoring_Model!$X$2:$X$300,Scoring_Model!$Y$2:$Y$300,INDEX(Scoring_Model!$Y$2:$Y$300,MATCH("Yes",Scoring_Model!$U$2:$U$300,0))),"No anchor found"))</f>
        <v/>
      </c>
      <c r="J2" s="2">
        <f>Scoring_Model!W2</f>
        <v/>
      </c>
      <c r="K2">
        <f>IF(Scoring_Model!V2&lt;&gt;"Yes","",IF(F2="High Value Bundle","1 anchor + 1 slow mover",IF(F2="Medium Value Bundle","1 anchor + 2 slow movers","1 anchor + 2 slow movers (aggressive clearout)")))</f>
        <v/>
      </c>
      <c r="L2">
        <f>IF(B2="","",IF(Scoring_Model!V2&lt;&gt;"Yes","Not a slow-mover bundle candidate","Bundle to move slow stock with controlled discount"))</f>
        <v/>
      </c>
    </row>
    <row r="3">
      <c r="A3">
        <f>IF(Scoring_Model!V3&lt;&gt;"Yes","","RB-"&amp;TEXT(COUNTIF(Scoring_Model!$V$2:$V3,"Yes"),"000000"))</f>
        <v/>
      </c>
      <c r="B3">
        <f>Scoring_Model!A3</f>
        <v/>
      </c>
      <c r="C3">
        <f>Scoring_Model!B3</f>
        <v/>
      </c>
      <c r="D3">
        <f>Scoring_Model!C3</f>
        <v/>
      </c>
      <c r="E3">
        <f>Scoring_Model!S3</f>
        <v/>
      </c>
      <c r="F3">
        <f>Scoring_Model!T3</f>
        <v/>
      </c>
      <c r="G3" s="2">
        <f>Scoring_Model!R3</f>
        <v/>
      </c>
      <c r="H3">
        <f>Scoring_Model!P3</f>
        <v/>
      </c>
      <c r="I3">
        <f>IF(Scoring_Model!V3&lt;&gt;"Yes","",IFERROR(XLOOKUP(D3&amp;"|anchor",Scoring_Model!$X$2:$X$300,Scoring_Model!$Y$2:$Y$300,INDEX(Scoring_Model!$Y$2:$Y$300,MATCH("Yes",Scoring_Model!$U$2:$U$300,0))),"No anchor found"))</f>
        <v/>
      </c>
      <c r="J3" s="2">
        <f>Scoring_Model!W3</f>
        <v/>
      </c>
      <c r="K3">
        <f>IF(Scoring_Model!V3&lt;&gt;"Yes","",IF(F3="High Value Bundle","1 anchor + 1 slow mover",IF(F3="Medium Value Bundle","1 anchor + 2 slow movers","1 anchor + 2 slow movers (aggressive clearout)")))</f>
        <v/>
      </c>
      <c r="L3">
        <f>IF(B3="","",IF(Scoring_Model!V3&lt;&gt;"Yes","Not a slow-mover bundle candidate","Bundle to move slow stock with controlled discount"))</f>
        <v/>
      </c>
    </row>
    <row r="4">
      <c r="A4">
        <f>IF(Scoring_Model!V4&lt;&gt;"Yes","","RB-"&amp;TEXT(COUNTIF(Scoring_Model!$V$2:$V4,"Yes"),"000000"))</f>
        <v/>
      </c>
      <c r="B4">
        <f>Scoring_Model!A4</f>
        <v/>
      </c>
      <c r="C4">
        <f>Scoring_Model!B4</f>
        <v/>
      </c>
      <c r="D4">
        <f>Scoring_Model!C4</f>
        <v/>
      </c>
      <c r="E4">
        <f>Scoring_Model!S4</f>
        <v/>
      </c>
      <c r="F4">
        <f>Scoring_Model!T4</f>
        <v/>
      </c>
      <c r="G4" s="2">
        <f>Scoring_Model!R4</f>
        <v/>
      </c>
      <c r="H4">
        <f>Scoring_Model!P4</f>
        <v/>
      </c>
      <c r="I4">
        <f>IF(Scoring_Model!V4&lt;&gt;"Yes","",IFERROR(XLOOKUP(D4&amp;"|anchor",Scoring_Model!$X$2:$X$300,Scoring_Model!$Y$2:$Y$300,INDEX(Scoring_Model!$Y$2:$Y$300,MATCH("Yes",Scoring_Model!$U$2:$U$300,0))),"No anchor found"))</f>
        <v/>
      </c>
      <c r="J4" s="2">
        <f>Scoring_Model!W4</f>
        <v/>
      </c>
      <c r="K4">
        <f>IF(Scoring_Model!V4&lt;&gt;"Yes","",IF(F4="High Value Bundle","1 anchor + 1 slow mover",IF(F4="Medium Value Bundle","1 anchor + 2 slow movers","1 anchor + 2 slow movers (aggressive clearout)")))</f>
        <v/>
      </c>
      <c r="L4">
        <f>IF(B4="","",IF(Scoring_Model!V4&lt;&gt;"Yes","Not a slow-mover bundle candidate","Bundle to move slow stock with controlled discount"))</f>
        <v/>
      </c>
    </row>
    <row r="5">
      <c r="A5">
        <f>IF(Scoring_Model!V5&lt;&gt;"Yes","","RB-"&amp;TEXT(COUNTIF(Scoring_Model!$V$2:$V5,"Yes"),"000000"))</f>
        <v/>
      </c>
      <c r="B5">
        <f>Scoring_Model!A5</f>
        <v/>
      </c>
      <c r="C5">
        <f>Scoring_Model!B5</f>
        <v/>
      </c>
      <c r="D5">
        <f>Scoring_Model!C5</f>
        <v/>
      </c>
      <c r="E5">
        <f>Scoring_Model!S5</f>
        <v/>
      </c>
      <c r="F5">
        <f>Scoring_Model!T5</f>
        <v/>
      </c>
      <c r="G5" s="2">
        <f>Scoring_Model!R5</f>
        <v/>
      </c>
      <c r="H5">
        <f>Scoring_Model!P5</f>
        <v/>
      </c>
      <c r="I5">
        <f>IF(Scoring_Model!V5&lt;&gt;"Yes","",IFERROR(XLOOKUP(D5&amp;"|anchor",Scoring_Model!$X$2:$X$300,Scoring_Model!$Y$2:$Y$300,INDEX(Scoring_Model!$Y$2:$Y$300,MATCH("Yes",Scoring_Model!$U$2:$U$300,0))),"No anchor found"))</f>
        <v/>
      </c>
      <c r="J5" s="2">
        <f>Scoring_Model!W5</f>
        <v/>
      </c>
      <c r="K5">
        <f>IF(Scoring_Model!V5&lt;&gt;"Yes","",IF(F5="High Value Bundle","1 anchor + 1 slow mover",IF(F5="Medium Value Bundle","1 anchor + 2 slow movers","1 anchor + 2 slow movers (aggressive clearout)")))</f>
        <v/>
      </c>
      <c r="L5">
        <f>IF(B5="","",IF(Scoring_Model!V5&lt;&gt;"Yes","Not a slow-mover bundle candidate","Bundle to move slow stock with controlled discount"))</f>
        <v/>
      </c>
    </row>
    <row r="6">
      <c r="A6">
        <f>IF(Scoring_Model!V6&lt;&gt;"Yes","","RB-"&amp;TEXT(COUNTIF(Scoring_Model!$V$2:$V6,"Yes"),"000000"))</f>
        <v/>
      </c>
      <c r="B6">
        <f>Scoring_Model!A6</f>
        <v/>
      </c>
      <c r="C6">
        <f>Scoring_Model!B6</f>
        <v/>
      </c>
      <c r="D6">
        <f>Scoring_Model!C6</f>
        <v/>
      </c>
      <c r="E6">
        <f>Scoring_Model!S6</f>
        <v/>
      </c>
      <c r="F6">
        <f>Scoring_Model!T6</f>
        <v/>
      </c>
      <c r="G6" s="2">
        <f>Scoring_Model!R6</f>
        <v/>
      </c>
      <c r="H6">
        <f>Scoring_Model!P6</f>
        <v/>
      </c>
      <c r="I6">
        <f>IF(Scoring_Model!V6&lt;&gt;"Yes","",IFERROR(XLOOKUP(D6&amp;"|anchor",Scoring_Model!$X$2:$X$300,Scoring_Model!$Y$2:$Y$300,INDEX(Scoring_Model!$Y$2:$Y$300,MATCH("Yes",Scoring_Model!$U$2:$U$300,0))),"No anchor found"))</f>
        <v/>
      </c>
      <c r="J6" s="2">
        <f>Scoring_Model!W6</f>
        <v/>
      </c>
      <c r="K6">
        <f>IF(Scoring_Model!V6&lt;&gt;"Yes","",IF(F6="High Value Bundle","1 anchor + 1 slow mover",IF(F6="Medium Value Bundle","1 anchor + 2 slow movers","1 anchor + 2 slow movers (aggressive clearout)")))</f>
        <v/>
      </c>
      <c r="L6">
        <f>IF(B6="","",IF(Scoring_Model!V6&lt;&gt;"Yes","Not a slow-mover bundle candidate","Bundle to move slow stock with controlled discount"))</f>
        <v/>
      </c>
    </row>
    <row r="7">
      <c r="A7">
        <f>IF(Scoring_Model!V7&lt;&gt;"Yes","","RB-"&amp;TEXT(COUNTIF(Scoring_Model!$V$2:$V7,"Yes"),"000000"))</f>
        <v/>
      </c>
      <c r="B7">
        <f>Scoring_Model!A7</f>
        <v/>
      </c>
      <c r="C7">
        <f>Scoring_Model!B7</f>
        <v/>
      </c>
      <c r="D7">
        <f>Scoring_Model!C7</f>
        <v/>
      </c>
      <c r="E7">
        <f>Scoring_Model!S7</f>
        <v/>
      </c>
      <c r="F7">
        <f>Scoring_Model!T7</f>
        <v/>
      </c>
      <c r="G7" s="2">
        <f>Scoring_Model!R7</f>
        <v/>
      </c>
      <c r="H7">
        <f>Scoring_Model!P7</f>
        <v/>
      </c>
      <c r="I7">
        <f>IF(Scoring_Model!V7&lt;&gt;"Yes","",IFERROR(XLOOKUP(D7&amp;"|anchor",Scoring_Model!$X$2:$X$300,Scoring_Model!$Y$2:$Y$300,INDEX(Scoring_Model!$Y$2:$Y$300,MATCH("Yes",Scoring_Model!$U$2:$U$300,0))),"No anchor found"))</f>
        <v/>
      </c>
      <c r="J7" s="2">
        <f>Scoring_Model!W7</f>
        <v/>
      </c>
      <c r="K7">
        <f>IF(Scoring_Model!V7&lt;&gt;"Yes","",IF(F7="High Value Bundle","1 anchor + 1 slow mover",IF(F7="Medium Value Bundle","1 anchor + 2 slow movers","1 anchor + 2 slow movers (aggressive clearout)")))</f>
        <v/>
      </c>
      <c r="L7">
        <f>IF(B7="","",IF(Scoring_Model!V7&lt;&gt;"Yes","Not a slow-mover bundle candidate","Bundle to move slow stock with controlled discount"))</f>
        <v/>
      </c>
    </row>
    <row r="8">
      <c r="A8">
        <f>IF(Scoring_Model!V8&lt;&gt;"Yes","","RB-"&amp;TEXT(COUNTIF(Scoring_Model!$V$2:$V8,"Yes"),"000000"))</f>
        <v/>
      </c>
      <c r="B8">
        <f>Scoring_Model!A8</f>
        <v/>
      </c>
      <c r="C8">
        <f>Scoring_Model!B8</f>
        <v/>
      </c>
      <c r="D8">
        <f>Scoring_Model!C8</f>
        <v/>
      </c>
      <c r="E8">
        <f>Scoring_Model!S8</f>
        <v/>
      </c>
      <c r="F8">
        <f>Scoring_Model!T8</f>
        <v/>
      </c>
      <c r="G8" s="2">
        <f>Scoring_Model!R8</f>
        <v/>
      </c>
      <c r="H8">
        <f>Scoring_Model!P8</f>
        <v/>
      </c>
      <c r="I8">
        <f>IF(Scoring_Model!V8&lt;&gt;"Yes","",IFERROR(XLOOKUP(D8&amp;"|anchor",Scoring_Model!$X$2:$X$300,Scoring_Model!$Y$2:$Y$300,INDEX(Scoring_Model!$Y$2:$Y$300,MATCH("Yes",Scoring_Model!$U$2:$U$300,0))),"No anchor found"))</f>
        <v/>
      </c>
      <c r="J8" s="2">
        <f>Scoring_Model!W8</f>
        <v/>
      </c>
      <c r="K8">
        <f>IF(Scoring_Model!V8&lt;&gt;"Yes","",IF(F8="High Value Bundle","1 anchor + 1 slow mover",IF(F8="Medium Value Bundle","1 anchor + 2 slow movers","1 anchor + 2 slow movers (aggressive clearout)")))</f>
        <v/>
      </c>
      <c r="L8">
        <f>IF(B8="","",IF(Scoring_Model!V8&lt;&gt;"Yes","Not a slow-mover bundle candidate","Bundle to move slow stock with controlled discount"))</f>
        <v/>
      </c>
    </row>
    <row r="9">
      <c r="A9">
        <f>IF(Scoring_Model!V9&lt;&gt;"Yes","","RB-"&amp;TEXT(COUNTIF(Scoring_Model!$V$2:$V9,"Yes"),"000000"))</f>
        <v/>
      </c>
      <c r="B9">
        <f>Scoring_Model!A9</f>
        <v/>
      </c>
      <c r="C9">
        <f>Scoring_Model!B9</f>
        <v/>
      </c>
      <c r="D9">
        <f>Scoring_Model!C9</f>
        <v/>
      </c>
      <c r="E9">
        <f>Scoring_Model!S9</f>
        <v/>
      </c>
      <c r="F9">
        <f>Scoring_Model!T9</f>
        <v/>
      </c>
      <c r="G9" s="2">
        <f>Scoring_Model!R9</f>
        <v/>
      </c>
      <c r="H9">
        <f>Scoring_Model!P9</f>
        <v/>
      </c>
      <c r="I9">
        <f>IF(Scoring_Model!V9&lt;&gt;"Yes","",IFERROR(XLOOKUP(D9&amp;"|anchor",Scoring_Model!$X$2:$X$300,Scoring_Model!$Y$2:$Y$300,INDEX(Scoring_Model!$Y$2:$Y$300,MATCH("Yes",Scoring_Model!$U$2:$U$300,0))),"No anchor found"))</f>
        <v/>
      </c>
      <c r="J9" s="2">
        <f>Scoring_Model!W9</f>
        <v/>
      </c>
      <c r="K9">
        <f>IF(Scoring_Model!V9&lt;&gt;"Yes","",IF(F9="High Value Bundle","1 anchor + 1 slow mover",IF(F9="Medium Value Bundle","1 anchor + 2 slow movers","1 anchor + 2 slow movers (aggressive clearout)")))</f>
        <v/>
      </c>
      <c r="L9">
        <f>IF(B9="","",IF(Scoring_Model!V9&lt;&gt;"Yes","Not a slow-mover bundle candidate","Bundle to move slow stock with controlled discount"))</f>
        <v/>
      </c>
    </row>
    <row r="10">
      <c r="A10">
        <f>IF(Scoring_Model!V10&lt;&gt;"Yes","","RB-"&amp;TEXT(COUNTIF(Scoring_Model!$V$2:$V10,"Yes"),"000000"))</f>
        <v/>
      </c>
      <c r="B10">
        <f>Scoring_Model!A10</f>
        <v/>
      </c>
      <c r="C10">
        <f>Scoring_Model!B10</f>
        <v/>
      </c>
      <c r="D10">
        <f>Scoring_Model!C10</f>
        <v/>
      </c>
      <c r="E10">
        <f>Scoring_Model!S10</f>
        <v/>
      </c>
      <c r="F10">
        <f>Scoring_Model!T10</f>
        <v/>
      </c>
      <c r="G10" s="2">
        <f>Scoring_Model!R10</f>
        <v/>
      </c>
      <c r="H10">
        <f>Scoring_Model!P10</f>
        <v/>
      </c>
      <c r="I10">
        <f>IF(Scoring_Model!V10&lt;&gt;"Yes","",IFERROR(XLOOKUP(D10&amp;"|anchor",Scoring_Model!$X$2:$X$300,Scoring_Model!$Y$2:$Y$300,INDEX(Scoring_Model!$Y$2:$Y$300,MATCH("Yes",Scoring_Model!$U$2:$U$300,0))),"No anchor found"))</f>
        <v/>
      </c>
      <c r="J10" s="2">
        <f>Scoring_Model!W10</f>
        <v/>
      </c>
      <c r="K10">
        <f>IF(Scoring_Model!V10&lt;&gt;"Yes","",IF(F10="High Value Bundle","1 anchor + 1 slow mover",IF(F10="Medium Value Bundle","1 anchor + 2 slow movers","1 anchor + 2 slow movers (aggressive clearout)")))</f>
        <v/>
      </c>
      <c r="L10">
        <f>IF(B10="","",IF(Scoring_Model!V10&lt;&gt;"Yes","Not a slow-mover bundle candidate","Bundle to move slow stock with controlled discount"))</f>
        <v/>
      </c>
    </row>
    <row r="11">
      <c r="A11">
        <f>IF(Scoring_Model!V11&lt;&gt;"Yes","","RB-"&amp;TEXT(COUNTIF(Scoring_Model!$V$2:$V11,"Yes"),"000000"))</f>
        <v/>
      </c>
      <c r="B11">
        <f>Scoring_Model!A11</f>
        <v/>
      </c>
      <c r="C11">
        <f>Scoring_Model!B11</f>
        <v/>
      </c>
      <c r="D11">
        <f>Scoring_Model!C11</f>
        <v/>
      </c>
      <c r="E11">
        <f>Scoring_Model!S11</f>
        <v/>
      </c>
      <c r="F11">
        <f>Scoring_Model!T11</f>
        <v/>
      </c>
      <c r="G11" s="2">
        <f>Scoring_Model!R11</f>
        <v/>
      </c>
      <c r="H11">
        <f>Scoring_Model!P11</f>
        <v/>
      </c>
      <c r="I11">
        <f>IF(Scoring_Model!V11&lt;&gt;"Yes","",IFERROR(XLOOKUP(D11&amp;"|anchor",Scoring_Model!$X$2:$X$300,Scoring_Model!$Y$2:$Y$300,INDEX(Scoring_Model!$Y$2:$Y$300,MATCH("Yes",Scoring_Model!$U$2:$U$300,0))),"No anchor found"))</f>
        <v/>
      </c>
      <c r="J11" s="2">
        <f>Scoring_Model!W11</f>
        <v/>
      </c>
      <c r="K11">
        <f>IF(Scoring_Model!V11&lt;&gt;"Yes","",IF(F11="High Value Bundle","1 anchor + 1 slow mover",IF(F11="Medium Value Bundle","1 anchor + 2 slow movers","1 anchor + 2 slow movers (aggressive clearout)")))</f>
        <v/>
      </c>
      <c r="L11">
        <f>IF(B11="","",IF(Scoring_Model!V11&lt;&gt;"Yes","Not a slow-mover bundle candidate","Bundle to move slow stock with controlled discount"))</f>
        <v/>
      </c>
    </row>
    <row r="12">
      <c r="A12">
        <f>IF(Scoring_Model!V12&lt;&gt;"Yes","","RB-"&amp;TEXT(COUNTIF(Scoring_Model!$V$2:$V12,"Yes"),"000000"))</f>
        <v/>
      </c>
      <c r="B12">
        <f>Scoring_Model!A12</f>
        <v/>
      </c>
      <c r="C12">
        <f>Scoring_Model!B12</f>
        <v/>
      </c>
      <c r="D12">
        <f>Scoring_Model!C12</f>
        <v/>
      </c>
      <c r="E12">
        <f>Scoring_Model!S12</f>
        <v/>
      </c>
      <c r="F12">
        <f>Scoring_Model!T12</f>
        <v/>
      </c>
      <c r="G12" s="2">
        <f>Scoring_Model!R12</f>
        <v/>
      </c>
      <c r="H12">
        <f>Scoring_Model!P12</f>
        <v/>
      </c>
      <c r="I12">
        <f>IF(Scoring_Model!V12&lt;&gt;"Yes","",IFERROR(XLOOKUP(D12&amp;"|anchor",Scoring_Model!$X$2:$X$300,Scoring_Model!$Y$2:$Y$300,INDEX(Scoring_Model!$Y$2:$Y$300,MATCH("Yes",Scoring_Model!$U$2:$U$300,0))),"No anchor found"))</f>
        <v/>
      </c>
      <c r="J12" s="2">
        <f>Scoring_Model!W12</f>
        <v/>
      </c>
      <c r="K12">
        <f>IF(Scoring_Model!V12&lt;&gt;"Yes","",IF(F12="High Value Bundle","1 anchor + 1 slow mover",IF(F12="Medium Value Bundle","1 anchor + 2 slow movers","1 anchor + 2 slow movers (aggressive clearout)")))</f>
        <v/>
      </c>
      <c r="L12">
        <f>IF(B12="","",IF(Scoring_Model!V12&lt;&gt;"Yes","Not a slow-mover bundle candidate","Bundle to move slow stock with controlled discount"))</f>
        <v/>
      </c>
    </row>
    <row r="13">
      <c r="A13">
        <f>IF(Scoring_Model!V13&lt;&gt;"Yes","","RB-"&amp;TEXT(COUNTIF(Scoring_Model!$V$2:$V13,"Yes"),"000000"))</f>
        <v/>
      </c>
      <c r="B13">
        <f>Scoring_Model!A13</f>
        <v/>
      </c>
      <c r="C13">
        <f>Scoring_Model!B13</f>
        <v/>
      </c>
      <c r="D13">
        <f>Scoring_Model!C13</f>
        <v/>
      </c>
      <c r="E13">
        <f>Scoring_Model!S13</f>
        <v/>
      </c>
      <c r="F13">
        <f>Scoring_Model!T13</f>
        <v/>
      </c>
      <c r="G13" s="2">
        <f>Scoring_Model!R13</f>
        <v/>
      </c>
      <c r="H13">
        <f>Scoring_Model!P13</f>
        <v/>
      </c>
      <c r="I13">
        <f>IF(Scoring_Model!V13&lt;&gt;"Yes","",IFERROR(XLOOKUP(D13&amp;"|anchor",Scoring_Model!$X$2:$X$300,Scoring_Model!$Y$2:$Y$300,INDEX(Scoring_Model!$Y$2:$Y$300,MATCH("Yes",Scoring_Model!$U$2:$U$300,0))),"No anchor found"))</f>
        <v/>
      </c>
      <c r="J13" s="2">
        <f>Scoring_Model!W13</f>
        <v/>
      </c>
      <c r="K13">
        <f>IF(Scoring_Model!V13&lt;&gt;"Yes","",IF(F13="High Value Bundle","1 anchor + 1 slow mover",IF(F13="Medium Value Bundle","1 anchor + 2 slow movers","1 anchor + 2 slow movers (aggressive clearout)")))</f>
        <v/>
      </c>
      <c r="L13">
        <f>IF(B13="","",IF(Scoring_Model!V13&lt;&gt;"Yes","Not a slow-mover bundle candidate","Bundle to move slow stock with controlled discount"))</f>
        <v/>
      </c>
    </row>
    <row r="14">
      <c r="A14">
        <f>IF(Scoring_Model!V14&lt;&gt;"Yes","","RB-"&amp;TEXT(COUNTIF(Scoring_Model!$V$2:$V14,"Yes"),"000000"))</f>
        <v/>
      </c>
      <c r="B14">
        <f>Scoring_Model!A14</f>
        <v/>
      </c>
      <c r="C14">
        <f>Scoring_Model!B14</f>
        <v/>
      </c>
      <c r="D14">
        <f>Scoring_Model!C14</f>
        <v/>
      </c>
      <c r="E14">
        <f>Scoring_Model!S14</f>
        <v/>
      </c>
      <c r="F14">
        <f>Scoring_Model!T14</f>
        <v/>
      </c>
      <c r="G14" s="2">
        <f>Scoring_Model!R14</f>
        <v/>
      </c>
      <c r="H14">
        <f>Scoring_Model!P14</f>
        <v/>
      </c>
      <c r="I14">
        <f>IF(Scoring_Model!V14&lt;&gt;"Yes","",IFERROR(XLOOKUP(D14&amp;"|anchor",Scoring_Model!$X$2:$X$300,Scoring_Model!$Y$2:$Y$300,INDEX(Scoring_Model!$Y$2:$Y$300,MATCH("Yes",Scoring_Model!$U$2:$U$300,0))),"No anchor found"))</f>
        <v/>
      </c>
      <c r="J14" s="2">
        <f>Scoring_Model!W14</f>
        <v/>
      </c>
      <c r="K14">
        <f>IF(Scoring_Model!V14&lt;&gt;"Yes","",IF(F14="High Value Bundle","1 anchor + 1 slow mover",IF(F14="Medium Value Bundle","1 anchor + 2 slow movers","1 anchor + 2 slow movers (aggressive clearout)")))</f>
        <v/>
      </c>
      <c r="L14">
        <f>IF(B14="","",IF(Scoring_Model!V14&lt;&gt;"Yes","Not a slow-mover bundle candidate","Bundle to move slow stock with controlled discount"))</f>
        <v/>
      </c>
    </row>
    <row r="15">
      <c r="A15">
        <f>IF(Scoring_Model!V15&lt;&gt;"Yes","","RB-"&amp;TEXT(COUNTIF(Scoring_Model!$V$2:$V15,"Yes"),"000000"))</f>
        <v/>
      </c>
      <c r="B15">
        <f>Scoring_Model!A15</f>
        <v/>
      </c>
      <c r="C15">
        <f>Scoring_Model!B15</f>
        <v/>
      </c>
      <c r="D15">
        <f>Scoring_Model!C15</f>
        <v/>
      </c>
      <c r="E15">
        <f>Scoring_Model!S15</f>
        <v/>
      </c>
      <c r="F15">
        <f>Scoring_Model!T15</f>
        <v/>
      </c>
      <c r="G15" s="2">
        <f>Scoring_Model!R15</f>
        <v/>
      </c>
      <c r="H15">
        <f>Scoring_Model!P15</f>
        <v/>
      </c>
      <c r="I15">
        <f>IF(Scoring_Model!V15&lt;&gt;"Yes","",IFERROR(XLOOKUP(D15&amp;"|anchor",Scoring_Model!$X$2:$X$300,Scoring_Model!$Y$2:$Y$300,INDEX(Scoring_Model!$Y$2:$Y$300,MATCH("Yes",Scoring_Model!$U$2:$U$300,0))),"No anchor found"))</f>
        <v/>
      </c>
      <c r="J15" s="2">
        <f>Scoring_Model!W15</f>
        <v/>
      </c>
      <c r="K15">
        <f>IF(Scoring_Model!V15&lt;&gt;"Yes","",IF(F15="High Value Bundle","1 anchor + 1 slow mover",IF(F15="Medium Value Bundle","1 anchor + 2 slow movers","1 anchor + 2 slow movers (aggressive clearout)")))</f>
        <v/>
      </c>
      <c r="L15">
        <f>IF(B15="","",IF(Scoring_Model!V15&lt;&gt;"Yes","Not a slow-mover bundle candidate","Bundle to move slow stock with controlled discount"))</f>
        <v/>
      </c>
    </row>
    <row r="16">
      <c r="A16">
        <f>IF(Scoring_Model!V16&lt;&gt;"Yes","","RB-"&amp;TEXT(COUNTIF(Scoring_Model!$V$2:$V16,"Yes"),"000000"))</f>
        <v/>
      </c>
      <c r="B16">
        <f>Scoring_Model!A16</f>
        <v/>
      </c>
      <c r="C16">
        <f>Scoring_Model!B16</f>
        <v/>
      </c>
      <c r="D16">
        <f>Scoring_Model!C16</f>
        <v/>
      </c>
      <c r="E16">
        <f>Scoring_Model!S16</f>
        <v/>
      </c>
      <c r="F16">
        <f>Scoring_Model!T16</f>
        <v/>
      </c>
      <c r="G16" s="2">
        <f>Scoring_Model!R16</f>
        <v/>
      </c>
      <c r="H16">
        <f>Scoring_Model!P16</f>
        <v/>
      </c>
      <c r="I16">
        <f>IF(Scoring_Model!V16&lt;&gt;"Yes","",IFERROR(XLOOKUP(D16&amp;"|anchor",Scoring_Model!$X$2:$X$300,Scoring_Model!$Y$2:$Y$300,INDEX(Scoring_Model!$Y$2:$Y$300,MATCH("Yes",Scoring_Model!$U$2:$U$300,0))),"No anchor found"))</f>
        <v/>
      </c>
      <c r="J16" s="2">
        <f>Scoring_Model!W16</f>
        <v/>
      </c>
      <c r="K16">
        <f>IF(Scoring_Model!V16&lt;&gt;"Yes","",IF(F16="High Value Bundle","1 anchor + 1 slow mover",IF(F16="Medium Value Bundle","1 anchor + 2 slow movers","1 anchor + 2 slow movers (aggressive clearout)")))</f>
        <v/>
      </c>
      <c r="L16">
        <f>IF(B16="","",IF(Scoring_Model!V16&lt;&gt;"Yes","Not a slow-mover bundle candidate","Bundle to move slow stock with controlled discount"))</f>
        <v/>
      </c>
    </row>
    <row r="17">
      <c r="A17">
        <f>IF(Scoring_Model!V17&lt;&gt;"Yes","","RB-"&amp;TEXT(COUNTIF(Scoring_Model!$V$2:$V17,"Yes"),"000000"))</f>
        <v/>
      </c>
      <c r="B17">
        <f>Scoring_Model!A17</f>
        <v/>
      </c>
      <c r="C17">
        <f>Scoring_Model!B17</f>
        <v/>
      </c>
      <c r="D17">
        <f>Scoring_Model!C17</f>
        <v/>
      </c>
      <c r="E17">
        <f>Scoring_Model!S17</f>
        <v/>
      </c>
      <c r="F17">
        <f>Scoring_Model!T17</f>
        <v/>
      </c>
      <c r="G17" s="2">
        <f>Scoring_Model!R17</f>
        <v/>
      </c>
      <c r="H17">
        <f>Scoring_Model!P17</f>
        <v/>
      </c>
      <c r="I17">
        <f>IF(Scoring_Model!V17&lt;&gt;"Yes","",IFERROR(XLOOKUP(D17&amp;"|anchor",Scoring_Model!$X$2:$X$300,Scoring_Model!$Y$2:$Y$300,INDEX(Scoring_Model!$Y$2:$Y$300,MATCH("Yes",Scoring_Model!$U$2:$U$300,0))),"No anchor found"))</f>
        <v/>
      </c>
      <c r="J17" s="2">
        <f>Scoring_Model!W17</f>
        <v/>
      </c>
      <c r="K17">
        <f>IF(Scoring_Model!V17&lt;&gt;"Yes","",IF(F17="High Value Bundle","1 anchor + 1 slow mover",IF(F17="Medium Value Bundle","1 anchor + 2 slow movers","1 anchor + 2 slow movers (aggressive clearout)")))</f>
        <v/>
      </c>
      <c r="L17">
        <f>IF(B17="","",IF(Scoring_Model!V17&lt;&gt;"Yes","Not a slow-mover bundle candidate","Bundle to move slow stock with controlled discount"))</f>
        <v/>
      </c>
    </row>
    <row r="18">
      <c r="A18">
        <f>IF(Scoring_Model!V18&lt;&gt;"Yes","","RB-"&amp;TEXT(COUNTIF(Scoring_Model!$V$2:$V18,"Yes"),"000000"))</f>
        <v/>
      </c>
      <c r="B18">
        <f>Scoring_Model!A18</f>
        <v/>
      </c>
      <c r="C18">
        <f>Scoring_Model!B18</f>
        <v/>
      </c>
      <c r="D18">
        <f>Scoring_Model!C18</f>
        <v/>
      </c>
      <c r="E18">
        <f>Scoring_Model!S18</f>
        <v/>
      </c>
      <c r="F18">
        <f>Scoring_Model!T18</f>
        <v/>
      </c>
      <c r="G18" s="2">
        <f>Scoring_Model!R18</f>
        <v/>
      </c>
      <c r="H18">
        <f>Scoring_Model!P18</f>
        <v/>
      </c>
      <c r="I18">
        <f>IF(Scoring_Model!V18&lt;&gt;"Yes","",IFERROR(XLOOKUP(D18&amp;"|anchor",Scoring_Model!$X$2:$X$300,Scoring_Model!$Y$2:$Y$300,INDEX(Scoring_Model!$Y$2:$Y$300,MATCH("Yes",Scoring_Model!$U$2:$U$300,0))),"No anchor found"))</f>
        <v/>
      </c>
      <c r="J18" s="2">
        <f>Scoring_Model!W18</f>
        <v/>
      </c>
      <c r="K18">
        <f>IF(Scoring_Model!V18&lt;&gt;"Yes","",IF(F18="High Value Bundle","1 anchor + 1 slow mover",IF(F18="Medium Value Bundle","1 anchor + 2 slow movers","1 anchor + 2 slow movers (aggressive clearout)")))</f>
        <v/>
      </c>
      <c r="L18">
        <f>IF(B18="","",IF(Scoring_Model!V18&lt;&gt;"Yes","Not a slow-mover bundle candidate","Bundle to move slow stock with controlled discount"))</f>
        <v/>
      </c>
    </row>
    <row r="19">
      <c r="A19">
        <f>IF(Scoring_Model!V19&lt;&gt;"Yes","","RB-"&amp;TEXT(COUNTIF(Scoring_Model!$V$2:$V19,"Yes"),"000000"))</f>
        <v/>
      </c>
      <c r="B19">
        <f>Scoring_Model!A19</f>
        <v/>
      </c>
      <c r="C19">
        <f>Scoring_Model!B19</f>
        <v/>
      </c>
      <c r="D19">
        <f>Scoring_Model!C19</f>
        <v/>
      </c>
      <c r="E19">
        <f>Scoring_Model!S19</f>
        <v/>
      </c>
      <c r="F19">
        <f>Scoring_Model!T19</f>
        <v/>
      </c>
      <c r="G19" s="2">
        <f>Scoring_Model!R19</f>
        <v/>
      </c>
      <c r="H19">
        <f>Scoring_Model!P19</f>
        <v/>
      </c>
      <c r="I19">
        <f>IF(Scoring_Model!V19&lt;&gt;"Yes","",IFERROR(XLOOKUP(D19&amp;"|anchor",Scoring_Model!$X$2:$X$300,Scoring_Model!$Y$2:$Y$300,INDEX(Scoring_Model!$Y$2:$Y$300,MATCH("Yes",Scoring_Model!$U$2:$U$300,0))),"No anchor found"))</f>
        <v/>
      </c>
      <c r="J19" s="2">
        <f>Scoring_Model!W19</f>
        <v/>
      </c>
      <c r="K19">
        <f>IF(Scoring_Model!V19&lt;&gt;"Yes","",IF(F19="High Value Bundle","1 anchor + 1 slow mover",IF(F19="Medium Value Bundle","1 anchor + 2 slow movers","1 anchor + 2 slow movers (aggressive clearout)")))</f>
        <v/>
      </c>
      <c r="L19">
        <f>IF(B19="","",IF(Scoring_Model!V19&lt;&gt;"Yes","Not a slow-mover bundle candidate","Bundle to move slow stock with controlled discount"))</f>
        <v/>
      </c>
    </row>
    <row r="20">
      <c r="A20">
        <f>IF(Scoring_Model!V20&lt;&gt;"Yes","","RB-"&amp;TEXT(COUNTIF(Scoring_Model!$V$2:$V20,"Yes"),"000000"))</f>
        <v/>
      </c>
      <c r="B20">
        <f>Scoring_Model!A20</f>
        <v/>
      </c>
      <c r="C20">
        <f>Scoring_Model!B20</f>
        <v/>
      </c>
      <c r="D20">
        <f>Scoring_Model!C20</f>
        <v/>
      </c>
      <c r="E20">
        <f>Scoring_Model!S20</f>
        <v/>
      </c>
      <c r="F20">
        <f>Scoring_Model!T20</f>
        <v/>
      </c>
      <c r="G20" s="2">
        <f>Scoring_Model!R20</f>
        <v/>
      </c>
      <c r="H20">
        <f>Scoring_Model!P20</f>
        <v/>
      </c>
      <c r="I20">
        <f>IF(Scoring_Model!V20&lt;&gt;"Yes","",IFERROR(XLOOKUP(D20&amp;"|anchor",Scoring_Model!$X$2:$X$300,Scoring_Model!$Y$2:$Y$300,INDEX(Scoring_Model!$Y$2:$Y$300,MATCH("Yes",Scoring_Model!$U$2:$U$300,0))),"No anchor found"))</f>
        <v/>
      </c>
      <c r="J20" s="2">
        <f>Scoring_Model!W20</f>
        <v/>
      </c>
      <c r="K20">
        <f>IF(Scoring_Model!V20&lt;&gt;"Yes","",IF(F20="High Value Bundle","1 anchor + 1 slow mover",IF(F20="Medium Value Bundle","1 anchor + 2 slow movers","1 anchor + 2 slow movers (aggressive clearout)")))</f>
        <v/>
      </c>
      <c r="L20">
        <f>IF(B20="","",IF(Scoring_Model!V20&lt;&gt;"Yes","Not a slow-mover bundle candidate","Bundle to move slow stock with controlled discount"))</f>
        <v/>
      </c>
    </row>
    <row r="21">
      <c r="A21">
        <f>IF(Scoring_Model!V21&lt;&gt;"Yes","","RB-"&amp;TEXT(COUNTIF(Scoring_Model!$V$2:$V21,"Yes"),"000000"))</f>
        <v/>
      </c>
      <c r="B21">
        <f>Scoring_Model!A21</f>
        <v/>
      </c>
      <c r="C21">
        <f>Scoring_Model!B21</f>
        <v/>
      </c>
      <c r="D21">
        <f>Scoring_Model!C21</f>
        <v/>
      </c>
      <c r="E21">
        <f>Scoring_Model!S21</f>
        <v/>
      </c>
      <c r="F21">
        <f>Scoring_Model!T21</f>
        <v/>
      </c>
      <c r="G21" s="2">
        <f>Scoring_Model!R21</f>
        <v/>
      </c>
      <c r="H21">
        <f>Scoring_Model!P21</f>
        <v/>
      </c>
      <c r="I21">
        <f>IF(Scoring_Model!V21&lt;&gt;"Yes","",IFERROR(XLOOKUP(D21&amp;"|anchor",Scoring_Model!$X$2:$X$300,Scoring_Model!$Y$2:$Y$300,INDEX(Scoring_Model!$Y$2:$Y$300,MATCH("Yes",Scoring_Model!$U$2:$U$300,0))),"No anchor found"))</f>
        <v/>
      </c>
      <c r="J21" s="2">
        <f>Scoring_Model!W21</f>
        <v/>
      </c>
      <c r="K21">
        <f>IF(Scoring_Model!V21&lt;&gt;"Yes","",IF(F21="High Value Bundle","1 anchor + 1 slow mover",IF(F21="Medium Value Bundle","1 anchor + 2 slow movers","1 anchor + 2 slow movers (aggressive clearout)")))</f>
        <v/>
      </c>
      <c r="L21">
        <f>IF(B21="","",IF(Scoring_Model!V21&lt;&gt;"Yes","Not a slow-mover bundle candidate","Bundle to move slow stock with controlled discount"))</f>
        <v/>
      </c>
    </row>
    <row r="22">
      <c r="A22">
        <f>IF(Scoring_Model!V22&lt;&gt;"Yes","","RB-"&amp;TEXT(COUNTIF(Scoring_Model!$V$2:$V22,"Yes"),"000000"))</f>
        <v/>
      </c>
      <c r="B22">
        <f>Scoring_Model!A22</f>
        <v/>
      </c>
      <c r="C22">
        <f>Scoring_Model!B22</f>
        <v/>
      </c>
      <c r="D22">
        <f>Scoring_Model!C22</f>
        <v/>
      </c>
      <c r="E22">
        <f>Scoring_Model!S22</f>
        <v/>
      </c>
      <c r="F22">
        <f>Scoring_Model!T22</f>
        <v/>
      </c>
      <c r="G22" s="2">
        <f>Scoring_Model!R22</f>
        <v/>
      </c>
      <c r="H22">
        <f>Scoring_Model!P22</f>
        <v/>
      </c>
      <c r="I22">
        <f>IF(Scoring_Model!V22&lt;&gt;"Yes","",IFERROR(XLOOKUP(D22&amp;"|anchor",Scoring_Model!$X$2:$X$300,Scoring_Model!$Y$2:$Y$300,INDEX(Scoring_Model!$Y$2:$Y$300,MATCH("Yes",Scoring_Model!$U$2:$U$300,0))),"No anchor found"))</f>
        <v/>
      </c>
      <c r="J22" s="2">
        <f>Scoring_Model!W22</f>
        <v/>
      </c>
      <c r="K22">
        <f>IF(Scoring_Model!V22&lt;&gt;"Yes","",IF(F22="High Value Bundle","1 anchor + 1 slow mover",IF(F22="Medium Value Bundle","1 anchor + 2 slow movers","1 anchor + 2 slow movers (aggressive clearout)")))</f>
        <v/>
      </c>
      <c r="L22">
        <f>IF(B22="","",IF(Scoring_Model!V22&lt;&gt;"Yes","Not a slow-mover bundle candidate","Bundle to move slow stock with controlled discount"))</f>
        <v/>
      </c>
    </row>
    <row r="23">
      <c r="A23">
        <f>IF(Scoring_Model!V23&lt;&gt;"Yes","","RB-"&amp;TEXT(COUNTIF(Scoring_Model!$V$2:$V23,"Yes"),"000000"))</f>
        <v/>
      </c>
      <c r="B23">
        <f>Scoring_Model!A23</f>
        <v/>
      </c>
      <c r="C23">
        <f>Scoring_Model!B23</f>
        <v/>
      </c>
      <c r="D23">
        <f>Scoring_Model!C23</f>
        <v/>
      </c>
      <c r="E23">
        <f>Scoring_Model!S23</f>
        <v/>
      </c>
      <c r="F23">
        <f>Scoring_Model!T23</f>
        <v/>
      </c>
      <c r="G23" s="2">
        <f>Scoring_Model!R23</f>
        <v/>
      </c>
      <c r="H23">
        <f>Scoring_Model!P23</f>
        <v/>
      </c>
      <c r="I23">
        <f>IF(Scoring_Model!V23&lt;&gt;"Yes","",IFERROR(XLOOKUP(D23&amp;"|anchor",Scoring_Model!$X$2:$X$300,Scoring_Model!$Y$2:$Y$300,INDEX(Scoring_Model!$Y$2:$Y$300,MATCH("Yes",Scoring_Model!$U$2:$U$300,0))),"No anchor found"))</f>
        <v/>
      </c>
      <c r="J23" s="2">
        <f>Scoring_Model!W23</f>
        <v/>
      </c>
      <c r="K23">
        <f>IF(Scoring_Model!V23&lt;&gt;"Yes","",IF(F23="High Value Bundle","1 anchor + 1 slow mover",IF(F23="Medium Value Bundle","1 anchor + 2 slow movers","1 anchor + 2 slow movers (aggressive clearout)")))</f>
        <v/>
      </c>
      <c r="L23">
        <f>IF(B23="","",IF(Scoring_Model!V23&lt;&gt;"Yes","Not a slow-mover bundle candidate","Bundle to move slow stock with controlled discount"))</f>
        <v/>
      </c>
    </row>
    <row r="24">
      <c r="A24">
        <f>IF(Scoring_Model!V24&lt;&gt;"Yes","","RB-"&amp;TEXT(COUNTIF(Scoring_Model!$V$2:$V24,"Yes"),"000000"))</f>
        <v/>
      </c>
      <c r="B24">
        <f>Scoring_Model!A24</f>
        <v/>
      </c>
      <c r="C24">
        <f>Scoring_Model!B24</f>
        <v/>
      </c>
      <c r="D24">
        <f>Scoring_Model!C24</f>
        <v/>
      </c>
      <c r="E24">
        <f>Scoring_Model!S24</f>
        <v/>
      </c>
      <c r="F24">
        <f>Scoring_Model!T24</f>
        <v/>
      </c>
      <c r="G24" s="2">
        <f>Scoring_Model!R24</f>
        <v/>
      </c>
      <c r="H24">
        <f>Scoring_Model!P24</f>
        <v/>
      </c>
      <c r="I24">
        <f>IF(Scoring_Model!V24&lt;&gt;"Yes","",IFERROR(XLOOKUP(D24&amp;"|anchor",Scoring_Model!$X$2:$X$300,Scoring_Model!$Y$2:$Y$300,INDEX(Scoring_Model!$Y$2:$Y$300,MATCH("Yes",Scoring_Model!$U$2:$U$300,0))),"No anchor found"))</f>
        <v/>
      </c>
      <c r="J24" s="2">
        <f>Scoring_Model!W24</f>
        <v/>
      </c>
      <c r="K24">
        <f>IF(Scoring_Model!V24&lt;&gt;"Yes","",IF(F24="High Value Bundle","1 anchor + 1 slow mover",IF(F24="Medium Value Bundle","1 anchor + 2 slow movers","1 anchor + 2 slow movers (aggressive clearout)")))</f>
        <v/>
      </c>
      <c r="L24">
        <f>IF(B24="","",IF(Scoring_Model!V24&lt;&gt;"Yes","Not a slow-mover bundle candidate","Bundle to move slow stock with controlled discount"))</f>
        <v/>
      </c>
    </row>
    <row r="25">
      <c r="A25">
        <f>IF(Scoring_Model!V25&lt;&gt;"Yes","","RB-"&amp;TEXT(COUNTIF(Scoring_Model!$V$2:$V25,"Yes"),"000000"))</f>
        <v/>
      </c>
      <c r="B25">
        <f>Scoring_Model!A25</f>
        <v/>
      </c>
      <c r="C25">
        <f>Scoring_Model!B25</f>
        <v/>
      </c>
      <c r="D25">
        <f>Scoring_Model!C25</f>
        <v/>
      </c>
      <c r="E25">
        <f>Scoring_Model!S25</f>
        <v/>
      </c>
      <c r="F25">
        <f>Scoring_Model!T25</f>
        <v/>
      </c>
      <c r="G25" s="2">
        <f>Scoring_Model!R25</f>
        <v/>
      </c>
      <c r="H25">
        <f>Scoring_Model!P25</f>
        <v/>
      </c>
      <c r="I25">
        <f>IF(Scoring_Model!V25&lt;&gt;"Yes","",IFERROR(XLOOKUP(D25&amp;"|anchor",Scoring_Model!$X$2:$X$300,Scoring_Model!$Y$2:$Y$300,INDEX(Scoring_Model!$Y$2:$Y$300,MATCH("Yes",Scoring_Model!$U$2:$U$300,0))),"No anchor found"))</f>
        <v/>
      </c>
      <c r="J25" s="2">
        <f>Scoring_Model!W25</f>
        <v/>
      </c>
      <c r="K25">
        <f>IF(Scoring_Model!V25&lt;&gt;"Yes","",IF(F25="High Value Bundle","1 anchor + 1 slow mover",IF(F25="Medium Value Bundle","1 anchor + 2 slow movers","1 anchor + 2 slow movers (aggressive clearout)")))</f>
        <v/>
      </c>
      <c r="L25">
        <f>IF(B25="","",IF(Scoring_Model!V25&lt;&gt;"Yes","Not a slow-mover bundle candidate","Bundle to move slow stock with controlled discount"))</f>
        <v/>
      </c>
    </row>
    <row r="26">
      <c r="A26">
        <f>IF(Scoring_Model!V26&lt;&gt;"Yes","","RB-"&amp;TEXT(COUNTIF(Scoring_Model!$V$2:$V26,"Yes"),"000000"))</f>
        <v/>
      </c>
      <c r="B26">
        <f>Scoring_Model!A26</f>
        <v/>
      </c>
      <c r="C26">
        <f>Scoring_Model!B26</f>
        <v/>
      </c>
      <c r="D26">
        <f>Scoring_Model!C26</f>
        <v/>
      </c>
      <c r="E26">
        <f>Scoring_Model!S26</f>
        <v/>
      </c>
      <c r="F26">
        <f>Scoring_Model!T26</f>
        <v/>
      </c>
      <c r="G26" s="2">
        <f>Scoring_Model!R26</f>
        <v/>
      </c>
      <c r="H26">
        <f>Scoring_Model!P26</f>
        <v/>
      </c>
      <c r="I26">
        <f>IF(Scoring_Model!V26&lt;&gt;"Yes","",IFERROR(XLOOKUP(D26&amp;"|anchor",Scoring_Model!$X$2:$X$300,Scoring_Model!$Y$2:$Y$300,INDEX(Scoring_Model!$Y$2:$Y$300,MATCH("Yes",Scoring_Model!$U$2:$U$300,0))),"No anchor found"))</f>
        <v/>
      </c>
      <c r="J26" s="2">
        <f>Scoring_Model!W26</f>
        <v/>
      </c>
      <c r="K26">
        <f>IF(Scoring_Model!V26&lt;&gt;"Yes","",IF(F26="High Value Bundle","1 anchor + 1 slow mover",IF(F26="Medium Value Bundle","1 anchor + 2 slow movers","1 anchor + 2 slow movers (aggressive clearout)")))</f>
        <v/>
      </c>
      <c r="L26">
        <f>IF(B26="","",IF(Scoring_Model!V26&lt;&gt;"Yes","Not a slow-mover bundle candidate","Bundle to move slow stock with controlled discount"))</f>
        <v/>
      </c>
    </row>
    <row r="27">
      <c r="A27">
        <f>IF(Scoring_Model!V27&lt;&gt;"Yes","","RB-"&amp;TEXT(COUNTIF(Scoring_Model!$V$2:$V27,"Yes"),"000000"))</f>
        <v/>
      </c>
      <c r="B27">
        <f>Scoring_Model!A27</f>
        <v/>
      </c>
      <c r="C27">
        <f>Scoring_Model!B27</f>
        <v/>
      </c>
      <c r="D27">
        <f>Scoring_Model!C27</f>
        <v/>
      </c>
      <c r="E27">
        <f>Scoring_Model!S27</f>
        <v/>
      </c>
      <c r="F27">
        <f>Scoring_Model!T27</f>
        <v/>
      </c>
      <c r="G27" s="2">
        <f>Scoring_Model!R27</f>
        <v/>
      </c>
      <c r="H27">
        <f>Scoring_Model!P27</f>
        <v/>
      </c>
      <c r="I27">
        <f>IF(Scoring_Model!V27&lt;&gt;"Yes","",IFERROR(XLOOKUP(D27&amp;"|anchor",Scoring_Model!$X$2:$X$300,Scoring_Model!$Y$2:$Y$300,INDEX(Scoring_Model!$Y$2:$Y$300,MATCH("Yes",Scoring_Model!$U$2:$U$300,0))),"No anchor found"))</f>
        <v/>
      </c>
      <c r="J27" s="2">
        <f>Scoring_Model!W27</f>
        <v/>
      </c>
      <c r="K27">
        <f>IF(Scoring_Model!V27&lt;&gt;"Yes","",IF(F27="High Value Bundle","1 anchor + 1 slow mover",IF(F27="Medium Value Bundle","1 anchor + 2 slow movers","1 anchor + 2 slow movers (aggressive clearout)")))</f>
        <v/>
      </c>
      <c r="L27">
        <f>IF(B27="","",IF(Scoring_Model!V27&lt;&gt;"Yes","Not a slow-mover bundle candidate","Bundle to move slow stock with controlled discount"))</f>
        <v/>
      </c>
    </row>
    <row r="28">
      <c r="A28">
        <f>IF(Scoring_Model!V28&lt;&gt;"Yes","","RB-"&amp;TEXT(COUNTIF(Scoring_Model!$V$2:$V28,"Yes"),"000000"))</f>
        <v/>
      </c>
      <c r="B28">
        <f>Scoring_Model!A28</f>
        <v/>
      </c>
      <c r="C28">
        <f>Scoring_Model!B28</f>
        <v/>
      </c>
      <c r="D28">
        <f>Scoring_Model!C28</f>
        <v/>
      </c>
      <c r="E28">
        <f>Scoring_Model!S28</f>
        <v/>
      </c>
      <c r="F28">
        <f>Scoring_Model!T28</f>
        <v/>
      </c>
      <c r="G28" s="2">
        <f>Scoring_Model!R28</f>
        <v/>
      </c>
      <c r="H28">
        <f>Scoring_Model!P28</f>
        <v/>
      </c>
      <c r="I28">
        <f>IF(Scoring_Model!V28&lt;&gt;"Yes","",IFERROR(XLOOKUP(D28&amp;"|anchor",Scoring_Model!$X$2:$X$300,Scoring_Model!$Y$2:$Y$300,INDEX(Scoring_Model!$Y$2:$Y$300,MATCH("Yes",Scoring_Model!$U$2:$U$300,0))),"No anchor found"))</f>
        <v/>
      </c>
      <c r="J28" s="2">
        <f>Scoring_Model!W28</f>
        <v/>
      </c>
      <c r="K28">
        <f>IF(Scoring_Model!V28&lt;&gt;"Yes","",IF(F28="High Value Bundle","1 anchor + 1 slow mover",IF(F28="Medium Value Bundle","1 anchor + 2 slow movers","1 anchor + 2 slow movers (aggressive clearout)")))</f>
        <v/>
      </c>
      <c r="L28">
        <f>IF(B28="","",IF(Scoring_Model!V28&lt;&gt;"Yes","Not a slow-mover bundle candidate","Bundle to move slow stock with controlled discount"))</f>
        <v/>
      </c>
    </row>
    <row r="29">
      <c r="A29">
        <f>IF(Scoring_Model!V29&lt;&gt;"Yes","","RB-"&amp;TEXT(COUNTIF(Scoring_Model!$V$2:$V29,"Yes"),"000000"))</f>
        <v/>
      </c>
      <c r="B29">
        <f>Scoring_Model!A29</f>
        <v/>
      </c>
      <c r="C29">
        <f>Scoring_Model!B29</f>
        <v/>
      </c>
      <c r="D29">
        <f>Scoring_Model!C29</f>
        <v/>
      </c>
      <c r="E29">
        <f>Scoring_Model!S29</f>
        <v/>
      </c>
      <c r="F29">
        <f>Scoring_Model!T29</f>
        <v/>
      </c>
      <c r="G29" s="2">
        <f>Scoring_Model!R29</f>
        <v/>
      </c>
      <c r="H29">
        <f>Scoring_Model!P29</f>
        <v/>
      </c>
      <c r="I29">
        <f>IF(Scoring_Model!V29&lt;&gt;"Yes","",IFERROR(XLOOKUP(D29&amp;"|anchor",Scoring_Model!$X$2:$X$300,Scoring_Model!$Y$2:$Y$300,INDEX(Scoring_Model!$Y$2:$Y$300,MATCH("Yes",Scoring_Model!$U$2:$U$300,0))),"No anchor found"))</f>
        <v/>
      </c>
      <c r="J29" s="2">
        <f>Scoring_Model!W29</f>
        <v/>
      </c>
      <c r="K29">
        <f>IF(Scoring_Model!V29&lt;&gt;"Yes","",IF(F29="High Value Bundle","1 anchor + 1 slow mover",IF(F29="Medium Value Bundle","1 anchor + 2 slow movers","1 anchor + 2 slow movers (aggressive clearout)")))</f>
        <v/>
      </c>
      <c r="L29">
        <f>IF(B29="","",IF(Scoring_Model!V29&lt;&gt;"Yes","Not a slow-mover bundle candidate","Bundle to move slow stock with controlled discount"))</f>
        <v/>
      </c>
    </row>
    <row r="30">
      <c r="A30">
        <f>IF(Scoring_Model!V30&lt;&gt;"Yes","","RB-"&amp;TEXT(COUNTIF(Scoring_Model!$V$2:$V30,"Yes"),"000000"))</f>
        <v/>
      </c>
      <c r="B30">
        <f>Scoring_Model!A30</f>
        <v/>
      </c>
      <c r="C30">
        <f>Scoring_Model!B30</f>
        <v/>
      </c>
      <c r="D30">
        <f>Scoring_Model!C30</f>
        <v/>
      </c>
      <c r="E30">
        <f>Scoring_Model!S30</f>
        <v/>
      </c>
      <c r="F30">
        <f>Scoring_Model!T30</f>
        <v/>
      </c>
      <c r="G30" s="2">
        <f>Scoring_Model!R30</f>
        <v/>
      </c>
      <c r="H30">
        <f>Scoring_Model!P30</f>
        <v/>
      </c>
      <c r="I30">
        <f>IF(Scoring_Model!V30&lt;&gt;"Yes","",IFERROR(XLOOKUP(D30&amp;"|anchor",Scoring_Model!$X$2:$X$300,Scoring_Model!$Y$2:$Y$300,INDEX(Scoring_Model!$Y$2:$Y$300,MATCH("Yes",Scoring_Model!$U$2:$U$300,0))),"No anchor found"))</f>
        <v/>
      </c>
      <c r="J30" s="2">
        <f>Scoring_Model!W30</f>
        <v/>
      </c>
      <c r="K30">
        <f>IF(Scoring_Model!V30&lt;&gt;"Yes","",IF(F30="High Value Bundle","1 anchor + 1 slow mover",IF(F30="Medium Value Bundle","1 anchor + 2 slow movers","1 anchor + 2 slow movers (aggressive clearout)")))</f>
        <v/>
      </c>
      <c r="L30">
        <f>IF(B30="","",IF(Scoring_Model!V30&lt;&gt;"Yes","Not a slow-mover bundle candidate","Bundle to move slow stock with controlled discount"))</f>
        <v/>
      </c>
    </row>
    <row r="31">
      <c r="A31">
        <f>IF(Scoring_Model!V31&lt;&gt;"Yes","","RB-"&amp;TEXT(COUNTIF(Scoring_Model!$V$2:$V31,"Yes"),"000000"))</f>
        <v/>
      </c>
      <c r="B31">
        <f>Scoring_Model!A31</f>
        <v/>
      </c>
      <c r="C31">
        <f>Scoring_Model!B31</f>
        <v/>
      </c>
      <c r="D31">
        <f>Scoring_Model!C31</f>
        <v/>
      </c>
      <c r="E31">
        <f>Scoring_Model!S31</f>
        <v/>
      </c>
      <c r="F31">
        <f>Scoring_Model!T31</f>
        <v/>
      </c>
      <c r="G31" s="2">
        <f>Scoring_Model!R31</f>
        <v/>
      </c>
      <c r="H31">
        <f>Scoring_Model!P31</f>
        <v/>
      </c>
      <c r="I31">
        <f>IF(Scoring_Model!V31&lt;&gt;"Yes","",IFERROR(XLOOKUP(D31&amp;"|anchor",Scoring_Model!$X$2:$X$300,Scoring_Model!$Y$2:$Y$300,INDEX(Scoring_Model!$Y$2:$Y$300,MATCH("Yes",Scoring_Model!$U$2:$U$300,0))),"No anchor found"))</f>
        <v/>
      </c>
      <c r="J31" s="2">
        <f>Scoring_Model!W31</f>
        <v/>
      </c>
      <c r="K31">
        <f>IF(Scoring_Model!V31&lt;&gt;"Yes","",IF(F31="High Value Bundle","1 anchor + 1 slow mover",IF(F31="Medium Value Bundle","1 anchor + 2 slow movers","1 anchor + 2 slow movers (aggressive clearout)")))</f>
        <v/>
      </c>
      <c r="L31">
        <f>IF(B31="","",IF(Scoring_Model!V31&lt;&gt;"Yes","Not a slow-mover bundle candidate","Bundle to move slow stock with controlled discount"))</f>
        <v/>
      </c>
    </row>
    <row r="32">
      <c r="A32">
        <f>IF(Scoring_Model!V32&lt;&gt;"Yes","","RB-"&amp;TEXT(COUNTIF(Scoring_Model!$V$2:$V32,"Yes"),"000000"))</f>
        <v/>
      </c>
      <c r="B32">
        <f>Scoring_Model!A32</f>
        <v/>
      </c>
      <c r="C32">
        <f>Scoring_Model!B32</f>
        <v/>
      </c>
      <c r="D32">
        <f>Scoring_Model!C32</f>
        <v/>
      </c>
      <c r="E32">
        <f>Scoring_Model!S32</f>
        <v/>
      </c>
      <c r="F32">
        <f>Scoring_Model!T32</f>
        <v/>
      </c>
      <c r="G32" s="2">
        <f>Scoring_Model!R32</f>
        <v/>
      </c>
      <c r="H32">
        <f>Scoring_Model!P32</f>
        <v/>
      </c>
      <c r="I32">
        <f>IF(Scoring_Model!V32&lt;&gt;"Yes","",IFERROR(XLOOKUP(D32&amp;"|anchor",Scoring_Model!$X$2:$X$300,Scoring_Model!$Y$2:$Y$300,INDEX(Scoring_Model!$Y$2:$Y$300,MATCH("Yes",Scoring_Model!$U$2:$U$300,0))),"No anchor found"))</f>
        <v/>
      </c>
      <c r="J32" s="2">
        <f>Scoring_Model!W32</f>
        <v/>
      </c>
      <c r="K32">
        <f>IF(Scoring_Model!V32&lt;&gt;"Yes","",IF(F32="High Value Bundle","1 anchor + 1 slow mover",IF(F32="Medium Value Bundle","1 anchor + 2 slow movers","1 anchor + 2 slow movers (aggressive clearout)")))</f>
        <v/>
      </c>
      <c r="L32">
        <f>IF(B32="","",IF(Scoring_Model!V32&lt;&gt;"Yes","Not a slow-mover bundle candidate","Bundle to move slow stock with controlled discount"))</f>
        <v/>
      </c>
    </row>
    <row r="33">
      <c r="A33">
        <f>IF(Scoring_Model!V33&lt;&gt;"Yes","","RB-"&amp;TEXT(COUNTIF(Scoring_Model!$V$2:$V33,"Yes"),"000000"))</f>
        <v/>
      </c>
      <c r="B33">
        <f>Scoring_Model!A33</f>
        <v/>
      </c>
      <c r="C33">
        <f>Scoring_Model!B33</f>
        <v/>
      </c>
      <c r="D33">
        <f>Scoring_Model!C33</f>
        <v/>
      </c>
      <c r="E33">
        <f>Scoring_Model!S33</f>
        <v/>
      </c>
      <c r="F33">
        <f>Scoring_Model!T33</f>
        <v/>
      </c>
      <c r="G33" s="2">
        <f>Scoring_Model!R33</f>
        <v/>
      </c>
      <c r="H33">
        <f>Scoring_Model!P33</f>
        <v/>
      </c>
      <c r="I33">
        <f>IF(Scoring_Model!V33&lt;&gt;"Yes","",IFERROR(XLOOKUP(D33&amp;"|anchor",Scoring_Model!$X$2:$X$300,Scoring_Model!$Y$2:$Y$300,INDEX(Scoring_Model!$Y$2:$Y$300,MATCH("Yes",Scoring_Model!$U$2:$U$300,0))),"No anchor found"))</f>
        <v/>
      </c>
      <c r="J33" s="2">
        <f>Scoring_Model!W33</f>
        <v/>
      </c>
      <c r="K33">
        <f>IF(Scoring_Model!V33&lt;&gt;"Yes","",IF(F33="High Value Bundle","1 anchor + 1 slow mover",IF(F33="Medium Value Bundle","1 anchor + 2 slow movers","1 anchor + 2 slow movers (aggressive clearout)")))</f>
        <v/>
      </c>
      <c r="L33">
        <f>IF(B33="","",IF(Scoring_Model!V33&lt;&gt;"Yes","Not a slow-mover bundle candidate","Bundle to move slow stock with controlled discount"))</f>
        <v/>
      </c>
    </row>
    <row r="34">
      <c r="A34">
        <f>IF(Scoring_Model!V34&lt;&gt;"Yes","","RB-"&amp;TEXT(COUNTIF(Scoring_Model!$V$2:$V34,"Yes"),"000000"))</f>
        <v/>
      </c>
      <c r="B34">
        <f>Scoring_Model!A34</f>
        <v/>
      </c>
      <c r="C34">
        <f>Scoring_Model!B34</f>
        <v/>
      </c>
      <c r="D34">
        <f>Scoring_Model!C34</f>
        <v/>
      </c>
      <c r="E34">
        <f>Scoring_Model!S34</f>
        <v/>
      </c>
      <c r="F34">
        <f>Scoring_Model!T34</f>
        <v/>
      </c>
      <c r="G34" s="2">
        <f>Scoring_Model!R34</f>
        <v/>
      </c>
      <c r="H34">
        <f>Scoring_Model!P34</f>
        <v/>
      </c>
      <c r="I34">
        <f>IF(Scoring_Model!V34&lt;&gt;"Yes","",IFERROR(XLOOKUP(D34&amp;"|anchor",Scoring_Model!$X$2:$X$300,Scoring_Model!$Y$2:$Y$300,INDEX(Scoring_Model!$Y$2:$Y$300,MATCH("Yes",Scoring_Model!$U$2:$U$300,0))),"No anchor found"))</f>
        <v/>
      </c>
      <c r="J34" s="2">
        <f>Scoring_Model!W34</f>
        <v/>
      </c>
      <c r="K34">
        <f>IF(Scoring_Model!V34&lt;&gt;"Yes","",IF(F34="High Value Bundle","1 anchor + 1 slow mover",IF(F34="Medium Value Bundle","1 anchor + 2 slow movers","1 anchor + 2 slow movers (aggressive clearout)")))</f>
        <v/>
      </c>
      <c r="L34">
        <f>IF(B34="","",IF(Scoring_Model!V34&lt;&gt;"Yes","Not a slow-mover bundle candidate","Bundle to move slow stock with controlled discount"))</f>
        <v/>
      </c>
    </row>
    <row r="35">
      <c r="A35">
        <f>IF(Scoring_Model!V35&lt;&gt;"Yes","","RB-"&amp;TEXT(COUNTIF(Scoring_Model!$V$2:$V35,"Yes"),"000000"))</f>
        <v/>
      </c>
      <c r="B35">
        <f>Scoring_Model!A35</f>
        <v/>
      </c>
      <c r="C35">
        <f>Scoring_Model!B35</f>
        <v/>
      </c>
      <c r="D35">
        <f>Scoring_Model!C35</f>
        <v/>
      </c>
      <c r="E35">
        <f>Scoring_Model!S35</f>
        <v/>
      </c>
      <c r="F35">
        <f>Scoring_Model!T35</f>
        <v/>
      </c>
      <c r="G35" s="2">
        <f>Scoring_Model!R35</f>
        <v/>
      </c>
      <c r="H35">
        <f>Scoring_Model!P35</f>
        <v/>
      </c>
      <c r="I35">
        <f>IF(Scoring_Model!V35&lt;&gt;"Yes","",IFERROR(XLOOKUP(D35&amp;"|anchor",Scoring_Model!$X$2:$X$300,Scoring_Model!$Y$2:$Y$300,INDEX(Scoring_Model!$Y$2:$Y$300,MATCH("Yes",Scoring_Model!$U$2:$U$300,0))),"No anchor found"))</f>
        <v/>
      </c>
      <c r="J35" s="2">
        <f>Scoring_Model!W35</f>
        <v/>
      </c>
      <c r="K35">
        <f>IF(Scoring_Model!V35&lt;&gt;"Yes","",IF(F35="High Value Bundle","1 anchor + 1 slow mover",IF(F35="Medium Value Bundle","1 anchor + 2 slow movers","1 anchor + 2 slow movers (aggressive clearout)")))</f>
        <v/>
      </c>
      <c r="L35">
        <f>IF(B35="","",IF(Scoring_Model!V35&lt;&gt;"Yes","Not a slow-mover bundle candidate","Bundle to move slow stock with controlled discount"))</f>
        <v/>
      </c>
    </row>
    <row r="36">
      <c r="A36">
        <f>IF(Scoring_Model!V36&lt;&gt;"Yes","","RB-"&amp;TEXT(COUNTIF(Scoring_Model!$V$2:$V36,"Yes"),"000000"))</f>
        <v/>
      </c>
      <c r="B36">
        <f>Scoring_Model!A36</f>
        <v/>
      </c>
      <c r="C36">
        <f>Scoring_Model!B36</f>
        <v/>
      </c>
      <c r="D36">
        <f>Scoring_Model!C36</f>
        <v/>
      </c>
      <c r="E36">
        <f>Scoring_Model!S36</f>
        <v/>
      </c>
      <c r="F36">
        <f>Scoring_Model!T36</f>
        <v/>
      </c>
      <c r="G36" s="2">
        <f>Scoring_Model!R36</f>
        <v/>
      </c>
      <c r="H36">
        <f>Scoring_Model!P36</f>
        <v/>
      </c>
      <c r="I36">
        <f>IF(Scoring_Model!V36&lt;&gt;"Yes","",IFERROR(XLOOKUP(D36&amp;"|anchor",Scoring_Model!$X$2:$X$300,Scoring_Model!$Y$2:$Y$300,INDEX(Scoring_Model!$Y$2:$Y$300,MATCH("Yes",Scoring_Model!$U$2:$U$300,0))),"No anchor found"))</f>
        <v/>
      </c>
      <c r="J36" s="2">
        <f>Scoring_Model!W36</f>
        <v/>
      </c>
      <c r="K36">
        <f>IF(Scoring_Model!V36&lt;&gt;"Yes","",IF(F36="High Value Bundle","1 anchor + 1 slow mover",IF(F36="Medium Value Bundle","1 anchor + 2 slow movers","1 anchor + 2 slow movers (aggressive clearout)")))</f>
        <v/>
      </c>
      <c r="L36">
        <f>IF(B36="","",IF(Scoring_Model!V36&lt;&gt;"Yes","Not a slow-mover bundle candidate","Bundle to move slow stock with controlled discount"))</f>
        <v/>
      </c>
    </row>
    <row r="37">
      <c r="A37">
        <f>IF(Scoring_Model!V37&lt;&gt;"Yes","","RB-"&amp;TEXT(COUNTIF(Scoring_Model!$V$2:$V37,"Yes"),"000000"))</f>
        <v/>
      </c>
      <c r="B37">
        <f>Scoring_Model!A37</f>
        <v/>
      </c>
      <c r="C37">
        <f>Scoring_Model!B37</f>
        <v/>
      </c>
      <c r="D37">
        <f>Scoring_Model!C37</f>
        <v/>
      </c>
      <c r="E37">
        <f>Scoring_Model!S37</f>
        <v/>
      </c>
      <c r="F37">
        <f>Scoring_Model!T37</f>
        <v/>
      </c>
      <c r="G37" s="2">
        <f>Scoring_Model!R37</f>
        <v/>
      </c>
      <c r="H37">
        <f>Scoring_Model!P37</f>
        <v/>
      </c>
      <c r="I37">
        <f>IF(Scoring_Model!V37&lt;&gt;"Yes","",IFERROR(XLOOKUP(D37&amp;"|anchor",Scoring_Model!$X$2:$X$300,Scoring_Model!$Y$2:$Y$300,INDEX(Scoring_Model!$Y$2:$Y$300,MATCH("Yes",Scoring_Model!$U$2:$U$300,0))),"No anchor found"))</f>
        <v/>
      </c>
      <c r="J37" s="2">
        <f>Scoring_Model!W37</f>
        <v/>
      </c>
      <c r="K37">
        <f>IF(Scoring_Model!V37&lt;&gt;"Yes","",IF(F37="High Value Bundle","1 anchor + 1 slow mover",IF(F37="Medium Value Bundle","1 anchor + 2 slow movers","1 anchor + 2 slow movers (aggressive clearout)")))</f>
        <v/>
      </c>
      <c r="L37">
        <f>IF(B37="","",IF(Scoring_Model!V37&lt;&gt;"Yes","Not a slow-mover bundle candidate","Bundle to move slow stock with controlled discount"))</f>
        <v/>
      </c>
    </row>
    <row r="38">
      <c r="A38">
        <f>IF(Scoring_Model!V38&lt;&gt;"Yes","","RB-"&amp;TEXT(COUNTIF(Scoring_Model!$V$2:$V38,"Yes"),"000000"))</f>
        <v/>
      </c>
      <c r="B38">
        <f>Scoring_Model!A38</f>
        <v/>
      </c>
      <c r="C38">
        <f>Scoring_Model!B38</f>
        <v/>
      </c>
      <c r="D38">
        <f>Scoring_Model!C38</f>
        <v/>
      </c>
      <c r="E38">
        <f>Scoring_Model!S38</f>
        <v/>
      </c>
      <c r="F38">
        <f>Scoring_Model!T38</f>
        <v/>
      </c>
      <c r="G38" s="2">
        <f>Scoring_Model!R38</f>
        <v/>
      </c>
      <c r="H38">
        <f>Scoring_Model!P38</f>
        <v/>
      </c>
      <c r="I38">
        <f>IF(Scoring_Model!V38&lt;&gt;"Yes","",IFERROR(XLOOKUP(D38&amp;"|anchor",Scoring_Model!$X$2:$X$300,Scoring_Model!$Y$2:$Y$300,INDEX(Scoring_Model!$Y$2:$Y$300,MATCH("Yes",Scoring_Model!$U$2:$U$300,0))),"No anchor found"))</f>
        <v/>
      </c>
      <c r="J38" s="2">
        <f>Scoring_Model!W38</f>
        <v/>
      </c>
      <c r="K38">
        <f>IF(Scoring_Model!V38&lt;&gt;"Yes","",IF(F38="High Value Bundle","1 anchor + 1 slow mover",IF(F38="Medium Value Bundle","1 anchor + 2 slow movers","1 anchor + 2 slow movers (aggressive clearout)")))</f>
        <v/>
      </c>
      <c r="L38">
        <f>IF(B38="","",IF(Scoring_Model!V38&lt;&gt;"Yes","Not a slow-mover bundle candidate","Bundle to move slow stock with controlled discount"))</f>
        <v/>
      </c>
    </row>
    <row r="39">
      <c r="A39">
        <f>IF(Scoring_Model!V39&lt;&gt;"Yes","","RB-"&amp;TEXT(COUNTIF(Scoring_Model!$V$2:$V39,"Yes"),"000000"))</f>
        <v/>
      </c>
      <c r="B39">
        <f>Scoring_Model!A39</f>
        <v/>
      </c>
      <c r="C39">
        <f>Scoring_Model!B39</f>
        <v/>
      </c>
      <c r="D39">
        <f>Scoring_Model!C39</f>
        <v/>
      </c>
      <c r="E39">
        <f>Scoring_Model!S39</f>
        <v/>
      </c>
      <c r="F39">
        <f>Scoring_Model!T39</f>
        <v/>
      </c>
      <c r="G39" s="2">
        <f>Scoring_Model!R39</f>
        <v/>
      </c>
      <c r="H39">
        <f>Scoring_Model!P39</f>
        <v/>
      </c>
      <c r="I39">
        <f>IF(Scoring_Model!V39&lt;&gt;"Yes","",IFERROR(XLOOKUP(D39&amp;"|anchor",Scoring_Model!$X$2:$X$300,Scoring_Model!$Y$2:$Y$300,INDEX(Scoring_Model!$Y$2:$Y$300,MATCH("Yes",Scoring_Model!$U$2:$U$300,0))),"No anchor found"))</f>
        <v/>
      </c>
      <c r="J39" s="2">
        <f>Scoring_Model!W39</f>
        <v/>
      </c>
      <c r="K39">
        <f>IF(Scoring_Model!V39&lt;&gt;"Yes","",IF(F39="High Value Bundle","1 anchor + 1 slow mover",IF(F39="Medium Value Bundle","1 anchor + 2 slow movers","1 anchor + 2 slow movers (aggressive clearout)")))</f>
        <v/>
      </c>
      <c r="L39">
        <f>IF(B39="","",IF(Scoring_Model!V39&lt;&gt;"Yes","Not a slow-mover bundle candidate","Bundle to move slow stock with controlled discount"))</f>
        <v/>
      </c>
    </row>
    <row r="40">
      <c r="A40">
        <f>IF(Scoring_Model!V40&lt;&gt;"Yes","","RB-"&amp;TEXT(COUNTIF(Scoring_Model!$V$2:$V40,"Yes"),"000000"))</f>
        <v/>
      </c>
      <c r="B40">
        <f>Scoring_Model!A40</f>
        <v/>
      </c>
      <c r="C40">
        <f>Scoring_Model!B40</f>
        <v/>
      </c>
      <c r="D40">
        <f>Scoring_Model!C40</f>
        <v/>
      </c>
      <c r="E40">
        <f>Scoring_Model!S40</f>
        <v/>
      </c>
      <c r="F40">
        <f>Scoring_Model!T40</f>
        <v/>
      </c>
      <c r="G40" s="2">
        <f>Scoring_Model!R40</f>
        <v/>
      </c>
      <c r="H40">
        <f>Scoring_Model!P40</f>
        <v/>
      </c>
      <c r="I40">
        <f>IF(Scoring_Model!V40&lt;&gt;"Yes","",IFERROR(XLOOKUP(D40&amp;"|anchor",Scoring_Model!$X$2:$X$300,Scoring_Model!$Y$2:$Y$300,INDEX(Scoring_Model!$Y$2:$Y$300,MATCH("Yes",Scoring_Model!$U$2:$U$300,0))),"No anchor found"))</f>
        <v/>
      </c>
      <c r="J40" s="2">
        <f>Scoring_Model!W40</f>
        <v/>
      </c>
      <c r="K40">
        <f>IF(Scoring_Model!V40&lt;&gt;"Yes","",IF(F40="High Value Bundle","1 anchor + 1 slow mover",IF(F40="Medium Value Bundle","1 anchor + 2 slow movers","1 anchor + 2 slow movers (aggressive clearout)")))</f>
        <v/>
      </c>
      <c r="L40">
        <f>IF(B40="","",IF(Scoring_Model!V40&lt;&gt;"Yes","Not a slow-mover bundle candidate","Bundle to move slow stock with controlled discount"))</f>
        <v/>
      </c>
    </row>
    <row r="41">
      <c r="A41">
        <f>IF(Scoring_Model!V41&lt;&gt;"Yes","","RB-"&amp;TEXT(COUNTIF(Scoring_Model!$V$2:$V41,"Yes"),"000000"))</f>
        <v/>
      </c>
      <c r="B41">
        <f>Scoring_Model!A41</f>
        <v/>
      </c>
      <c r="C41">
        <f>Scoring_Model!B41</f>
        <v/>
      </c>
      <c r="D41">
        <f>Scoring_Model!C41</f>
        <v/>
      </c>
      <c r="E41">
        <f>Scoring_Model!S41</f>
        <v/>
      </c>
      <c r="F41">
        <f>Scoring_Model!T41</f>
        <v/>
      </c>
      <c r="G41" s="2">
        <f>Scoring_Model!R41</f>
        <v/>
      </c>
      <c r="H41">
        <f>Scoring_Model!P41</f>
        <v/>
      </c>
      <c r="I41">
        <f>IF(Scoring_Model!V41&lt;&gt;"Yes","",IFERROR(XLOOKUP(D41&amp;"|anchor",Scoring_Model!$X$2:$X$300,Scoring_Model!$Y$2:$Y$300,INDEX(Scoring_Model!$Y$2:$Y$300,MATCH("Yes",Scoring_Model!$U$2:$U$300,0))),"No anchor found"))</f>
        <v/>
      </c>
      <c r="J41" s="2">
        <f>Scoring_Model!W41</f>
        <v/>
      </c>
      <c r="K41">
        <f>IF(Scoring_Model!V41&lt;&gt;"Yes","",IF(F41="High Value Bundle","1 anchor + 1 slow mover",IF(F41="Medium Value Bundle","1 anchor + 2 slow movers","1 anchor + 2 slow movers (aggressive clearout)")))</f>
        <v/>
      </c>
      <c r="L41">
        <f>IF(B41="","",IF(Scoring_Model!V41&lt;&gt;"Yes","Not a slow-mover bundle candidate","Bundle to move slow stock with controlled discount"))</f>
        <v/>
      </c>
    </row>
    <row r="42">
      <c r="A42">
        <f>IF(Scoring_Model!V42&lt;&gt;"Yes","","RB-"&amp;TEXT(COUNTIF(Scoring_Model!$V$2:$V42,"Yes"),"000000"))</f>
        <v/>
      </c>
      <c r="B42">
        <f>Scoring_Model!A42</f>
        <v/>
      </c>
      <c r="C42">
        <f>Scoring_Model!B42</f>
        <v/>
      </c>
      <c r="D42">
        <f>Scoring_Model!C42</f>
        <v/>
      </c>
      <c r="E42">
        <f>Scoring_Model!S42</f>
        <v/>
      </c>
      <c r="F42">
        <f>Scoring_Model!T42</f>
        <v/>
      </c>
      <c r="G42" s="2">
        <f>Scoring_Model!R42</f>
        <v/>
      </c>
      <c r="H42">
        <f>Scoring_Model!P42</f>
        <v/>
      </c>
      <c r="I42">
        <f>IF(Scoring_Model!V42&lt;&gt;"Yes","",IFERROR(XLOOKUP(D42&amp;"|anchor",Scoring_Model!$X$2:$X$300,Scoring_Model!$Y$2:$Y$300,INDEX(Scoring_Model!$Y$2:$Y$300,MATCH("Yes",Scoring_Model!$U$2:$U$300,0))),"No anchor found"))</f>
        <v/>
      </c>
      <c r="J42" s="2">
        <f>Scoring_Model!W42</f>
        <v/>
      </c>
      <c r="K42">
        <f>IF(Scoring_Model!V42&lt;&gt;"Yes","",IF(F42="High Value Bundle","1 anchor + 1 slow mover",IF(F42="Medium Value Bundle","1 anchor + 2 slow movers","1 anchor + 2 slow movers (aggressive clearout)")))</f>
        <v/>
      </c>
      <c r="L42">
        <f>IF(B42="","",IF(Scoring_Model!V42&lt;&gt;"Yes","Not a slow-mover bundle candidate","Bundle to move slow stock with controlled discount"))</f>
        <v/>
      </c>
    </row>
    <row r="43">
      <c r="A43">
        <f>IF(Scoring_Model!V43&lt;&gt;"Yes","","RB-"&amp;TEXT(COUNTIF(Scoring_Model!$V$2:$V43,"Yes"),"000000"))</f>
        <v/>
      </c>
      <c r="B43">
        <f>Scoring_Model!A43</f>
        <v/>
      </c>
      <c r="C43">
        <f>Scoring_Model!B43</f>
        <v/>
      </c>
      <c r="D43">
        <f>Scoring_Model!C43</f>
        <v/>
      </c>
      <c r="E43">
        <f>Scoring_Model!S43</f>
        <v/>
      </c>
      <c r="F43">
        <f>Scoring_Model!T43</f>
        <v/>
      </c>
      <c r="G43" s="2">
        <f>Scoring_Model!R43</f>
        <v/>
      </c>
      <c r="H43">
        <f>Scoring_Model!P43</f>
        <v/>
      </c>
      <c r="I43">
        <f>IF(Scoring_Model!V43&lt;&gt;"Yes","",IFERROR(XLOOKUP(D43&amp;"|anchor",Scoring_Model!$X$2:$X$300,Scoring_Model!$Y$2:$Y$300,INDEX(Scoring_Model!$Y$2:$Y$300,MATCH("Yes",Scoring_Model!$U$2:$U$300,0))),"No anchor found"))</f>
        <v/>
      </c>
      <c r="J43" s="2">
        <f>Scoring_Model!W43</f>
        <v/>
      </c>
      <c r="K43">
        <f>IF(Scoring_Model!V43&lt;&gt;"Yes","",IF(F43="High Value Bundle","1 anchor + 1 slow mover",IF(F43="Medium Value Bundle","1 anchor + 2 slow movers","1 anchor + 2 slow movers (aggressive clearout)")))</f>
        <v/>
      </c>
      <c r="L43">
        <f>IF(B43="","",IF(Scoring_Model!V43&lt;&gt;"Yes","Not a slow-mover bundle candidate","Bundle to move slow stock with controlled discount"))</f>
        <v/>
      </c>
    </row>
    <row r="44">
      <c r="A44">
        <f>IF(Scoring_Model!V44&lt;&gt;"Yes","","RB-"&amp;TEXT(COUNTIF(Scoring_Model!$V$2:$V44,"Yes"),"000000"))</f>
        <v/>
      </c>
      <c r="B44">
        <f>Scoring_Model!A44</f>
        <v/>
      </c>
      <c r="C44">
        <f>Scoring_Model!B44</f>
        <v/>
      </c>
      <c r="D44">
        <f>Scoring_Model!C44</f>
        <v/>
      </c>
      <c r="E44">
        <f>Scoring_Model!S44</f>
        <v/>
      </c>
      <c r="F44">
        <f>Scoring_Model!T44</f>
        <v/>
      </c>
      <c r="G44" s="2">
        <f>Scoring_Model!R44</f>
        <v/>
      </c>
      <c r="H44">
        <f>Scoring_Model!P44</f>
        <v/>
      </c>
      <c r="I44">
        <f>IF(Scoring_Model!V44&lt;&gt;"Yes","",IFERROR(XLOOKUP(D44&amp;"|anchor",Scoring_Model!$X$2:$X$300,Scoring_Model!$Y$2:$Y$300,INDEX(Scoring_Model!$Y$2:$Y$300,MATCH("Yes",Scoring_Model!$U$2:$U$300,0))),"No anchor found"))</f>
        <v/>
      </c>
      <c r="J44" s="2">
        <f>Scoring_Model!W44</f>
        <v/>
      </c>
      <c r="K44">
        <f>IF(Scoring_Model!V44&lt;&gt;"Yes","",IF(F44="High Value Bundle","1 anchor + 1 slow mover",IF(F44="Medium Value Bundle","1 anchor + 2 slow movers","1 anchor + 2 slow movers (aggressive clearout)")))</f>
        <v/>
      </c>
      <c r="L44">
        <f>IF(B44="","",IF(Scoring_Model!V44&lt;&gt;"Yes","Not a slow-mover bundle candidate","Bundle to move slow stock with controlled discount"))</f>
        <v/>
      </c>
    </row>
    <row r="45">
      <c r="A45">
        <f>IF(Scoring_Model!V45&lt;&gt;"Yes","","RB-"&amp;TEXT(COUNTIF(Scoring_Model!$V$2:$V45,"Yes"),"000000"))</f>
        <v/>
      </c>
      <c r="B45">
        <f>Scoring_Model!A45</f>
        <v/>
      </c>
      <c r="C45">
        <f>Scoring_Model!B45</f>
        <v/>
      </c>
      <c r="D45">
        <f>Scoring_Model!C45</f>
        <v/>
      </c>
      <c r="E45">
        <f>Scoring_Model!S45</f>
        <v/>
      </c>
      <c r="F45">
        <f>Scoring_Model!T45</f>
        <v/>
      </c>
      <c r="G45" s="2">
        <f>Scoring_Model!R45</f>
        <v/>
      </c>
      <c r="H45">
        <f>Scoring_Model!P45</f>
        <v/>
      </c>
      <c r="I45">
        <f>IF(Scoring_Model!V45&lt;&gt;"Yes","",IFERROR(XLOOKUP(D45&amp;"|anchor",Scoring_Model!$X$2:$X$300,Scoring_Model!$Y$2:$Y$300,INDEX(Scoring_Model!$Y$2:$Y$300,MATCH("Yes",Scoring_Model!$U$2:$U$300,0))),"No anchor found"))</f>
        <v/>
      </c>
      <c r="J45" s="2">
        <f>Scoring_Model!W45</f>
        <v/>
      </c>
      <c r="K45">
        <f>IF(Scoring_Model!V45&lt;&gt;"Yes","",IF(F45="High Value Bundle","1 anchor + 1 slow mover",IF(F45="Medium Value Bundle","1 anchor + 2 slow movers","1 anchor + 2 slow movers (aggressive clearout)")))</f>
        <v/>
      </c>
      <c r="L45">
        <f>IF(B45="","",IF(Scoring_Model!V45&lt;&gt;"Yes","Not a slow-mover bundle candidate","Bundle to move slow stock with controlled discount"))</f>
        <v/>
      </c>
    </row>
    <row r="46">
      <c r="A46">
        <f>IF(Scoring_Model!V46&lt;&gt;"Yes","","RB-"&amp;TEXT(COUNTIF(Scoring_Model!$V$2:$V46,"Yes"),"000000"))</f>
        <v/>
      </c>
      <c r="B46">
        <f>Scoring_Model!A46</f>
        <v/>
      </c>
      <c r="C46">
        <f>Scoring_Model!B46</f>
        <v/>
      </c>
      <c r="D46">
        <f>Scoring_Model!C46</f>
        <v/>
      </c>
      <c r="E46">
        <f>Scoring_Model!S46</f>
        <v/>
      </c>
      <c r="F46">
        <f>Scoring_Model!T46</f>
        <v/>
      </c>
      <c r="G46" s="2">
        <f>Scoring_Model!R46</f>
        <v/>
      </c>
      <c r="H46">
        <f>Scoring_Model!P46</f>
        <v/>
      </c>
      <c r="I46">
        <f>IF(Scoring_Model!V46&lt;&gt;"Yes","",IFERROR(XLOOKUP(D46&amp;"|anchor",Scoring_Model!$X$2:$X$300,Scoring_Model!$Y$2:$Y$300,INDEX(Scoring_Model!$Y$2:$Y$300,MATCH("Yes",Scoring_Model!$U$2:$U$300,0))),"No anchor found"))</f>
        <v/>
      </c>
      <c r="J46" s="2">
        <f>Scoring_Model!W46</f>
        <v/>
      </c>
      <c r="K46">
        <f>IF(Scoring_Model!V46&lt;&gt;"Yes","",IF(F46="High Value Bundle","1 anchor + 1 slow mover",IF(F46="Medium Value Bundle","1 anchor + 2 slow movers","1 anchor + 2 slow movers (aggressive clearout)")))</f>
        <v/>
      </c>
      <c r="L46">
        <f>IF(B46="","",IF(Scoring_Model!V46&lt;&gt;"Yes","Not a slow-mover bundle candidate","Bundle to move slow stock with controlled discount"))</f>
        <v/>
      </c>
    </row>
    <row r="47">
      <c r="A47">
        <f>IF(Scoring_Model!V47&lt;&gt;"Yes","","RB-"&amp;TEXT(COUNTIF(Scoring_Model!$V$2:$V47,"Yes"),"000000"))</f>
        <v/>
      </c>
      <c r="B47">
        <f>Scoring_Model!A47</f>
        <v/>
      </c>
      <c r="C47">
        <f>Scoring_Model!B47</f>
        <v/>
      </c>
      <c r="D47">
        <f>Scoring_Model!C47</f>
        <v/>
      </c>
      <c r="E47">
        <f>Scoring_Model!S47</f>
        <v/>
      </c>
      <c r="F47">
        <f>Scoring_Model!T47</f>
        <v/>
      </c>
      <c r="G47" s="2">
        <f>Scoring_Model!R47</f>
        <v/>
      </c>
      <c r="H47">
        <f>Scoring_Model!P47</f>
        <v/>
      </c>
      <c r="I47">
        <f>IF(Scoring_Model!V47&lt;&gt;"Yes","",IFERROR(XLOOKUP(D47&amp;"|anchor",Scoring_Model!$X$2:$X$300,Scoring_Model!$Y$2:$Y$300,INDEX(Scoring_Model!$Y$2:$Y$300,MATCH("Yes",Scoring_Model!$U$2:$U$300,0))),"No anchor found"))</f>
        <v/>
      </c>
      <c r="J47" s="2">
        <f>Scoring_Model!W47</f>
        <v/>
      </c>
      <c r="K47">
        <f>IF(Scoring_Model!V47&lt;&gt;"Yes","",IF(F47="High Value Bundle","1 anchor + 1 slow mover",IF(F47="Medium Value Bundle","1 anchor + 2 slow movers","1 anchor + 2 slow movers (aggressive clearout)")))</f>
        <v/>
      </c>
      <c r="L47">
        <f>IF(B47="","",IF(Scoring_Model!V47&lt;&gt;"Yes","Not a slow-mover bundle candidate","Bundle to move slow stock with controlled discount"))</f>
        <v/>
      </c>
    </row>
    <row r="48">
      <c r="A48">
        <f>IF(Scoring_Model!V48&lt;&gt;"Yes","","RB-"&amp;TEXT(COUNTIF(Scoring_Model!$V$2:$V48,"Yes"),"000000"))</f>
        <v/>
      </c>
      <c r="B48">
        <f>Scoring_Model!A48</f>
        <v/>
      </c>
      <c r="C48">
        <f>Scoring_Model!B48</f>
        <v/>
      </c>
      <c r="D48">
        <f>Scoring_Model!C48</f>
        <v/>
      </c>
      <c r="E48">
        <f>Scoring_Model!S48</f>
        <v/>
      </c>
      <c r="F48">
        <f>Scoring_Model!T48</f>
        <v/>
      </c>
      <c r="G48" s="2">
        <f>Scoring_Model!R48</f>
        <v/>
      </c>
      <c r="H48">
        <f>Scoring_Model!P48</f>
        <v/>
      </c>
      <c r="I48">
        <f>IF(Scoring_Model!V48&lt;&gt;"Yes","",IFERROR(XLOOKUP(D48&amp;"|anchor",Scoring_Model!$X$2:$X$300,Scoring_Model!$Y$2:$Y$300,INDEX(Scoring_Model!$Y$2:$Y$300,MATCH("Yes",Scoring_Model!$U$2:$U$300,0))),"No anchor found"))</f>
        <v/>
      </c>
      <c r="J48" s="2">
        <f>Scoring_Model!W48</f>
        <v/>
      </c>
      <c r="K48">
        <f>IF(Scoring_Model!V48&lt;&gt;"Yes","",IF(F48="High Value Bundle","1 anchor + 1 slow mover",IF(F48="Medium Value Bundle","1 anchor + 2 slow movers","1 anchor + 2 slow movers (aggressive clearout)")))</f>
        <v/>
      </c>
      <c r="L48">
        <f>IF(B48="","",IF(Scoring_Model!V48&lt;&gt;"Yes","Not a slow-mover bundle candidate","Bundle to move slow stock with controlled discount"))</f>
        <v/>
      </c>
    </row>
    <row r="49">
      <c r="A49">
        <f>IF(Scoring_Model!V49&lt;&gt;"Yes","","RB-"&amp;TEXT(COUNTIF(Scoring_Model!$V$2:$V49,"Yes"),"000000"))</f>
        <v/>
      </c>
      <c r="B49">
        <f>Scoring_Model!A49</f>
        <v/>
      </c>
      <c r="C49">
        <f>Scoring_Model!B49</f>
        <v/>
      </c>
      <c r="D49">
        <f>Scoring_Model!C49</f>
        <v/>
      </c>
      <c r="E49">
        <f>Scoring_Model!S49</f>
        <v/>
      </c>
      <c r="F49">
        <f>Scoring_Model!T49</f>
        <v/>
      </c>
      <c r="G49" s="2">
        <f>Scoring_Model!R49</f>
        <v/>
      </c>
      <c r="H49">
        <f>Scoring_Model!P49</f>
        <v/>
      </c>
      <c r="I49">
        <f>IF(Scoring_Model!V49&lt;&gt;"Yes","",IFERROR(XLOOKUP(D49&amp;"|anchor",Scoring_Model!$X$2:$X$300,Scoring_Model!$Y$2:$Y$300,INDEX(Scoring_Model!$Y$2:$Y$300,MATCH("Yes",Scoring_Model!$U$2:$U$300,0))),"No anchor found"))</f>
        <v/>
      </c>
      <c r="J49" s="2">
        <f>Scoring_Model!W49</f>
        <v/>
      </c>
      <c r="K49">
        <f>IF(Scoring_Model!V49&lt;&gt;"Yes","",IF(F49="High Value Bundle","1 anchor + 1 slow mover",IF(F49="Medium Value Bundle","1 anchor + 2 slow movers","1 anchor + 2 slow movers (aggressive clearout)")))</f>
        <v/>
      </c>
      <c r="L49">
        <f>IF(B49="","",IF(Scoring_Model!V49&lt;&gt;"Yes","Not a slow-mover bundle candidate","Bundle to move slow stock with controlled discount"))</f>
        <v/>
      </c>
    </row>
    <row r="50">
      <c r="A50">
        <f>IF(Scoring_Model!V50&lt;&gt;"Yes","","RB-"&amp;TEXT(COUNTIF(Scoring_Model!$V$2:$V50,"Yes"),"000000"))</f>
        <v/>
      </c>
      <c r="B50">
        <f>Scoring_Model!A50</f>
        <v/>
      </c>
      <c r="C50">
        <f>Scoring_Model!B50</f>
        <v/>
      </c>
      <c r="D50">
        <f>Scoring_Model!C50</f>
        <v/>
      </c>
      <c r="E50">
        <f>Scoring_Model!S50</f>
        <v/>
      </c>
      <c r="F50">
        <f>Scoring_Model!T50</f>
        <v/>
      </c>
      <c r="G50" s="2">
        <f>Scoring_Model!R50</f>
        <v/>
      </c>
      <c r="H50">
        <f>Scoring_Model!P50</f>
        <v/>
      </c>
      <c r="I50">
        <f>IF(Scoring_Model!V50&lt;&gt;"Yes","",IFERROR(XLOOKUP(D50&amp;"|anchor",Scoring_Model!$X$2:$X$300,Scoring_Model!$Y$2:$Y$300,INDEX(Scoring_Model!$Y$2:$Y$300,MATCH("Yes",Scoring_Model!$U$2:$U$300,0))),"No anchor found"))</f>
        <v/>
      </c>
      <c r="J50" s="2">
        <f>Scoring_Model!W50</f>
        <v/>
      </c>
      <c r="K50">
        <f>IF(Scoring_Model!V50&lt;&gt;"Yes","",IF(F50="High Value Bundle","1 anchor + 1 slow mover",IF(F50="Medium Value Bundle","1 anchor + 2 slow movers","1 anchor + 2 slow movers (aggressive clearout)")))</f>
        <v/>
      </c>
      <c r="L50">
        <f>IF(B50="","",IF(Scoring_Model!V50&lt;&gt;"Yes","Not a slow-mover bundle candidate","Bundle to move slow stock with controlled discount"))</f>
        <v/>
      </c>
    </row>
    <row r="51">
      <c r="A51">
        <f>IF(Scoring_Model!V51&lt;&gt;"Yes","","RB-"&amp;TEXT(COUNTIF(Scoring_Model!$V$2:$V51,"Yes"),"000000"))</f>
        <v/>
      </c>
      <c r="B51">
        <f>Scoring_Model!A51</f>
        <v/>
      </c>
      <c r="C51">
        <f>Scoring_Model!B51</f>
        <v/>
      </c>
      <c r="D51">
        <f>Scoring_Model!C51</f>
        <v/>
      </c>
      <c r="E51">
        <f>Scoring_Model!S51</f>
        <v/>
      </c>
      <c r="F51">
        <f>Scoring_Model!T51</f>
        <v/>
      </c>
      <c r="G51" s="2">
        <f>Scoring_Model!R51</f>
        <v/>
      </c>
      <c r="H51">
        <f>Scoring_Model!P51</f>
        <v/>
      </c>
      <c r="I51">
        <f>IF(Scoring_Model!V51&lt;&gt;"Yes","",IFERROR(XLOOKUP(D51&amp;"|anchor",Scoring_Model!$X$2:$X$300,Scoring_Model!$Y$2:$Y$300,INDEX(Scoring_Model!$Y$2:$Y$300,MATCH("Yes",Scoring_Model!$U$2:$U$300,0))),"No anchor found"))</f>
        <v/>
      </c>
      <c r="J51" s="2">
        <f>Scoring_Model!W51</f>
        <v/>
      </c>
      <c r="K51">
        <f>IF(Scoring_Model!V51&lt;&gt;"Yes","",IF(F51="High Value Bundle","1 anchor + 1 slow mover",IF(F51="Medium Value Bundle","1 anchor + 2 slow movers","1 anchor + 2 slow movers (aggressive clearout)")))</f>
        <v/>
      </c>
      <c r="L51">
        <f>IF(B51="","",IF(Scoring_Model!V51&lt;&gt;"Yes","Not a slow-mover bundle candidate","Bundle to move slow stock with controlled discount"))</f>
        <v/>
      </c>
    </row>
    <row r="52">
      <c r="A52">
        <f>IF(Scoring_Model!V52&lt;&gt;"Yes","","RB-"&amp;TEXT(COUNTIF(Scoring_Model!$V$2:$V52,"Yes"),"000000"))</f>
        <v/>
      </c>
      <c r="B52">
        <f>Scoring_Model!A52</f>
        <v/>
      </c>
      <c r="C52">
        <f>Scoring_Model!B52</f>
        <v/>
      </c>
      <c r="D52">
        <f>Scoring_Model!C52</f>
        <v/>
      </c>
      <c r="E52">
        <f>Scoring_Model!S52</f>
        <v/>
      </c>
      <c r="F52">
        <f>Scoring_Model!T52</f>
        <v/>
      </c>
      <c r="G52" s="2">
        <f>Scoring_Model!R52</f>
        <v/>
      </c>
      <c r="H52">
        <f>Scoring_Model!P52</f>
        <v/>
      </c>
      <c r="I52">
        <f>IF(Scoring_Model!V52&lt;&gt;"Yes","",IFERROR(XLOOKUP(D52&amp;"|anchor",Scoring_Model!$X$2:$X$300,Scoring_Model!$Y$2:$Y$300,INDEX(Scoring_Model!$Y$2:$Y$300,MATCH("Yes",Scoring_Model!$U$2:$U$300,0))),"No anchor found"))</f>
        <v/>
      </c>
      <c r="J52" s="2">
        <f>Scoring_Model!W52</f>
        <v/>
      </c>
      <c r="K52">
        <f>IF(Scoring_Model!V52&lt;&gt;"Yes","",IF(F52="High Value Bundle","1 anchor + 1 slow mover",IF(F52="Medium Value Bundle","1 anchor + 2 slow movers","1 anchor + 2 slow movers (aggressive clearout)")))</f>
        <v/>
      </c>
      <c r="L52">
        <f>IF(B52="","",IF(Scoring_Model!V52&lt;&gt;"Yes","Not a slow-mover bundle candidate","Bundle to move slow stock with controlled discount"))</f>
        <v/>
      </c>
    </row>
    <row r="53">
      <c r="A53">
        <f>IF(Scoring_Model!V53&lt;&gt;"Yes","","RB-"&amp;TEXT(COUNTIF(Scoring_Model!$V$2:$V53,"Yes"),"000000"))</f>
        <v/>
      </c>
      <c r="B53">
        <f>Scoring_Model!A53</f>
        <v/>
      </c>
      <c r="C53">
        <f>Scoring_Model!B53</f>
        <v/>
      </c>
      <c r="D53">
        <f>Scoring_Model!C53</f>
        <v/>
      </c>
      <c r="E53">
        <f>Scoring_Model!S53</f>
        <v/>
      </c>
      <c r="F53">
        <f>Scoring_Model!T53</f>
        <v/>
      </c>
      <c r="G53" s="2">
        <f>Scoring_Model!R53</f>
        <v/>
      </c>
      <c r="H53">
        <f>Scoring_Model!P53</f>
        <v/>
      </c>
      <c r="I53">
        <f>IF(Scoring_Model!V53&lt;&gt;"Yes","",IFERROR(XLOOKUP(D53&amp;"|anchor",Scoring_Model!$X$2:$X$300,Scoring_Model!$Y$2:$Y$300,INDEX(Scoring_Model!$Y$2:$Y$300,MATCH("Yes",Scoring_Model!$U$2:$U$300,0))),"No anchor found"))</f>
        <v/>
      </c>
      <c r="J53" s="2">
        <f>Scoring_Model!W53</f>
        <v/>
      </c>
      <c r="K53">
        <f>IF(Scoring_Model!V53&lt;&gt;"Yes","",IF(F53="High Value Bundle","1 anchor + 1 slow mover",IF(F53="Medium Value Bundle","1 anchor + 2 slow movers","1 anchor + 2 slow movers (aggressive clearout)")))</f>
        <v/>
      </c>
      <c r="L53">
        <f>IF(B53="","",IF(Scoring_Model!V53&lt;&gt;"Yes","Not a slow-mover bundle candidate","Bundle to move slow stock with controlled discount"))</f>
        <v/>
      </c>
    </row>
    <row r="54">
      <c r="A54">
        <f>IF(Scoring_Model!V54&lt;&gt;"Yes","","RB-"&amp;TEXT(COUNTIF(Scoring_Model!$V$2:$V54,"Yes"),"000000"))</f>
        <v/>
      </c>
      <c r="B54">
        <f>Scoring_Model!A54</f>
        <v/>
      </c>
      <c r="C54">
        <f>Scoring_Model!B54</f>
        <v/>
      </c>
      <c r="D54">
        <f>Scoring_Model!C54</f>
        <v/>
      </c>
      <c r="E54">
        <f>Scoring_Model!S54</f>
        <v/>
      </c>
      <c r="F54">
        <f>Scoring_Model!T54</f>
        <v/>
      </c>
      <c r="G54" s="2">
        <f>Scoring_Model!R54</f>
        <v/>
      </c>
      <c r="H54">
        <f>Scoring_Model!P54</f>
        <v/>
      </c>
      <c r="I54">
        <f>IF(Scoring_Model!V54&lt;&gt;"Yes","",IFERROR(XLOOKUP(D54&amp;"|anchor",Scoring_Model!$X$2:$X$300,Scoring_Model!$Y$2:$Y$300,INDEX(Scoring_Model!$Y$2:$Y$300,MATCH("Yes",Scoring_Model!$U$2:$U$300,0))),"No anchor found"))</f>
        <v/>
      </c>
      <c r="J54" s="2">
        <f>Scoring_Model!W54</f>
        <v/>
      </c>
      <c r="K54">
        <f>IF(Scoring_Model!V54&lt;&gt;"Yes","",IF(F54="High Value Bundle","1 anchor + 1 slow mover",IF(F54="Medium Value Bundle","1 anchor + 2 slow movers","1 anchor + 2 slow movers (aggressive clearout)")))</f>
        <v/>
      </c>
      <c r="L54">
        <f>IF(B54="","",IF(Scoring_Model!V54&lt;&gt;"Yes","Not a slow-mover bundle candidate","Bundle to move slow stock with controlled discount"))</f>
        <v/>
      </c>
    </row>
    <row r="55">
      <c r="A55">
        <f>IF(Scoring_Model!V55&lt;&gt;"Yes","","RB-"&amp;TEXT(COUNTIF(Scoring_Model!$V$2:$V55,"Yes"),"000000"))</f>
        <v/>
      </c>
      <c r="B55">
        <f>Scoring_Model!A55</f>
        <v/>
      </c>
      <c r="C55">
        <f>Scoring_Model!B55</f>
        <v/>
      </c>
      <c r="D55">
        <f>Scoring_Model!C55</f>
        <v/>
      </c>
      <c r="E55">
        <f>Scoring_Model!S55</f>
        <v/>
      </c>
      <c r="F55">
        <f>Scoring_Model!T55</f>
        <v/>
      </c>
      <c r="G55" s="2">
        <f>Scoring_Model!R55</f>
        <v/>
      </c>
      <c r="H55">
        <f>Scoring_Model!P55</f>
        <v/>
      </c>
      <c r="I55">
        <f>IF(Scoring_Model!V55&lt;&gt;"Yes","",IFERROR(XLOOKUP(D55&amp;"|anchor",Scoring_Model!$X$2:$X$300,Scoring_Model!$Y$2:$Y$300,INDEX(Scoring_Model!$Y$2:$Y$300,MATCH("Yes",Scoring_Model!$U$2:$U$300,0))),"No anchor found"))</f>
        <v/>
      </c>
      <c r="J55" s="2">
        <f>Scoring_Model!W55</f>
        <v/>
      </c>
      <c r="K55">
        <f>IF(Scoring_Model!V55&lt;&gt;"Yes","",IF(F55="High Value Bundle","1 anchor + 1 slow mover",IF(F55="Medium Value Bundle","1 anchor + 2 slow movers","1 anchor + 2 slow movers (aggressive clearout)")))</f>
        <v/>
      </c>
      <c r="L55">
        <f>IF(B55="","",IF(Scoring_Model!V55&lt;&gt;"Yes","Not a slow-mover bundle candidate","Bundle to move slow stock with controlled discount"))</f>
        <v/>
      </c>
    </row>
    <row r="56">
      <c r="A56">
        <f>IF(Scoring_Model!V56&lt;&gt;"Yes","","RB-"&amp;TEXT(COUNTIF(Scoring_Model!$V$2:$V56,"Yes"),"000000"))</f>
        <v/>
      </c>
      <c r="B56">
        <f>Scoring_Model!A56</f>
        <v/>
      </c>
      <c r="C56">
        <f>Scoring_Model!B56</f>
        <v/>
      </c>
      <c r="D56">
        <f>Scoring_Model!C56</f>
        <v/>
      </c>
      <c r="E56">
        <f>Scoring_Model!S56</f>
        <v/>
      </c>
      <c r="F56">
        <f>Scoring_Model!T56</f>
        <v/>
      </c>
      <c r="G56" s="2">
        <f>Scoring_Model!R56</f>
        <v/>
      </c>
      <c r="H56">
        <f>Scoring_Model!P56</f>
        <v/>
      </c>
      <c r="I56">
        <f>IF(Scoring_Model!V56&lt;&gt;"Yes","",IFERROR(XLOOKUP(D56&amp;"|anchor",Scoring_Model!$X$2:$X$300,Scoring_Model!$Y$2:$Y$300,INDEX(Scoring_Model!$Y$2:$Y$300,MATCH("Yes",Scoring_Model!$U$2:$U$300,0))),"No anchor found"))</f>
        <v/>
      </c>
      <c r="J56" s="2">
        <f>Scoring_Model!W56</f>
        <v/>
      </c>
      <c r="K56">
        <f>IF(Scoring_Model!V56&lt;&gt;"Yes","",IF(F56="High Value Bundle","1 anchor + 1 slow mover",IF(F56="Medium Value Bundle","1 anchor + 2 slow movers","1 anchor + 2 slow movers (aggressive clearout)")))</f>
        <v/>
      </c>
      <c r="L56">
        <f>IF(B56="","",IF(Scoring_Model!V56&lt;&gt;"Yes","Not a slow-mover bundle candidate","Bundle to move slow stock with controlled discount"))</f>
        <v/>
      </c>
    </row>
    <row r="57">
      <c r="A57">
        <f>IF(Scoring_Model!V57&lt;&gt;"Yes","","RB-"&amp;TEXT(COUNTIF(Scoring_Model!$V$2:$V57,"Yes"),"000000"))</f>
        <v/>
      </c>
      <c r="B57">
        <f>Scoring_Model!A57</f>
        <v/>
      </c>
      <c r="C57">
        <f>Scoring_Model!B57</f>
        <v/>
      </c>
      <c r="D57">
        <f>Scoring_Model!C57</f>
        <v/>
      </c>
      <c r="E57">
        <f>Scoring_Model!S57</f>
        <v/>
      </c>
      <c r="F57">
        <f>Scoring_Model!T57</f>
        <v/>
      </c>
      <c r="G57" s="2">
        <f>Scoring_Model!R57</f>
        <v/>
      </c>
      <c r="H57">
        <f>Scoring_Model!P57</f>
        <v/>
      </c>
      <c r="I57">
        <f>IF(Scoring_Model!V57&lt;&gt;"Yes","",IFERROR(XLOOKUP(D57&amp;"|anchor",Scoring_Model!$X$2:$X$300,Scoring_Model!$Y$2:$Y$300,INDEX(Scoring_Model!$Y$2:$Y$300,MATCH("Yes",Scoring_Model!$U$2:$U$300,0))),"No anchor found"))</f>
        <v/>
      </c>
      <c r="J57" s="2">
        <f>Scoring_Model!W57</f>
        <v/>
      </c>
      <c r="K57">
        <f>IF(Scoring_Model!V57&lt;&gt;"Yes","",IF(F57="High Value Bundle","1 anchor + 1 slow mover",IF(F57="Medium Value Bundle","1 anchor + 2 slow movers","1 anchor + 2 slow movers (aggressive clearout)")))</f>
        <v/>
      </c>
      <c r="L57">
        <f>IF(B57="","",IF(Scoring_Model!V57&lt;&gt;"Yes","Not a slow-mover bundle candidate","Bundle to move slow stock with controlled discount"))</f>
        <v/>
      </c>
    </row>
    <row r="58">
      <c r="A58">
        <f>IF(Scoring_Model!V58&lt;&gt;"Yes","","RB-"&amp;TEXT(COUNTIF(Scoring_Model!$V$2:$V58,"Yes"),"000000"))</f>
        <v/>
      </c>
      <c r="B58">
        <f>Scoring_Model!A58</f>
        <v/>
      </c>
      <c r="C58">
        <f>Scoring_Model!B58</f>
        <v/>
      </c>
      <c r="D58">
        <f>Scoring_Model!C58</f>
        <v/>
      </c>
      <c r="E58">
        <f>Scoring_Model!S58</f>
        <v/>
      </c>
      <c r="F58">
        <f>Scoring_Model!T58</f>
        <v/>
      </c>
      <c r="G58" s="2">
        <f>Scoring_Model!R58</f>
        <v/>
      </c>
      <c r="H58">
        <f>Scoring_Model!P58</f>
        <v/>
      </c>
      <c r="I58">
        <f>IF(Scoring_Model!V58&lt;&gt;"Yes","",IFERROR(XLOOKUP(D58&amp;"|anchor",Scoring_Model!$X$2:$X$300,Scoring_Model!$Y$2:$Y$300,INDEX(Scoring_Model!$Y$2:$Y$300,MATCH("Yes",Scoring_Model!$U$2:$U$300,0))),"No anchor found"))</f>
        <v/>
      </c>
      <c r="J58" s="2">
        <f>Scoring_Model!W58</f>
        <v/>
      </c>
      <c r="K58">
        <f>IF(Scoring_Model!V58&lt;&gt;"Yes","",IF(F58="High Value Bundle","1 anchor + 1 slow mover",IF(F58="Medium Value Bundle","1 anchor + 2 slow movers","1 anchor + 2 slow movers (aggressive clearout)")))</f>
        <v/>
      </c>
      <c r="L58">
        <f>IF(B58="","",IF(Scoring_Model!V58&lt;&gt;"Yes","Not a slow-mover bundle candidate","Bundle to move slow stock with controlled discount"))</f>
        <v/>
      </c>
    </row>
    <row r="59">
      <c r="A59">
        <f>IF(Scoring_Model!V59&lt;&gt;"Yes","","RB-"&amp;TEXT(COUNTIF(Scoring_Model!$V$2:$V59,"Yes"),"000000"))</f>
        <v/>
      </c>
      <c r="B59">
        <f>Scoring_Model!A59</f>
        <v/>
      </c>
      <c r="C59">
        <f>Scoring_Model!B59</f>
        <v/>
      </c>
      <c r="D59">
        <f>Scoring_Model!C59</f>
        <v/>
      </c>
      <c r="E59">
        <f>Scoring_Model!S59</f>
        <v/>
      </c>
      <c r="F59">
        <f>Scoring_Model!T59</f>
        <v/>
      </c>
      <c r="G59" s="2">
        <f>Scoring_Model!R59</f>
        <v/>
      </c>
      <c r="H59">
        <f>Scoring_Model!P59</f>
        <v/>
      </c>
      <c r="I59">
        <f>IF(Scoring_Model!V59&lt;&gt;"Yes","",IFERROR(XLOOKUP(D59&amp;"|anchor",Scoring_Model!$X$2:$X$300,Scoring_Model!$Y$2:$Y$300,INDEX(Scoring_Model!$Y$2:$Y$300,MATCH("Yes",Scoring_Model!$U$2:$U$300,0))),"No anchor found"))</f>
        <v/>
      </c>
      <c r="J59" s="2">
        <f>Scoring_Model!W59</f>
        <v/>
      </c>
      <c r="K59">
        <f>IF(Scoring_Model!V59&lt;&gt;"Yes","",IF(F59="High Value Bundle","1 anchor + 1 slow mover",IF(F59="Medium Value Bundle","1 anchor + 2 slow movers","1 anchor + 2 slow movers (aggressive clearout)")))</f>
        <v/>
      </c>
      <c r="L59">
        <f>IF(B59="","",IF(Scoring_Model!V59&lt;&gt;"Yes","Not a slow-mover bundle candidate","Bundle to move slow stock with controlled discount"))</f>
        <v/>
      </c>
    </row>
    <row r="60">
      <c r="A60">
        <f>IF(Scoring_Model!V60&lt;&gt;"Yes","","RB-"&amp;TEXT(COUNTIF(Scoring_Model!$V$2:$V60,"Yes"),"000000"))</f>
        <v/>
      </c>
      <c r="B60">
        <f>Scoring_Model!A60</f>
        <v/>
      </c>
      <c r="C60">
        <f>Scoring_Model!B60</f>
        <v/>
      </c>
      <c r="D60">
        <f>Scoring_Model!C60</f>
        <v/>
      </c>
      <c r="E60">
        <f>Scoring_Model!S60</f>
        <v/>
      </c>
      <c r="F60">
        <f>Scoring_Model!T60</f>
        <v/>
      </c>
      <c r="G60" s="2">
        <f>Scoring_Model!R60</f>
        <v/>
      </c>
      <c r="H60">
        <f>Scoring_Model!P60</f>
        <v/>
      </c>
      <c r="I60">
        <f>IF(Scoring_Model!V60&lt;&gt;"Yes","",IFERROR(XLOOKUP(D60&amp;"|anchor",Scoring_Model!$X$2:$X$300,Scoring_Model!$Y$2:$Y$300,INDEX(Scoring_Model!$Y$2:$Y$300,MATCH("Yes",Scoring_Model!$U$2:$U$300,0))),"No anchor found"))</f>
        <v/>
      </c>
      <c r="J60" s="2">
        <f>Scoring_Model!W60</f>
        <v/>
      </c>
      <c r="K60">
        <f>IF(Scoring_Model!V60&lt;&gt;"Yes","",IF(F60="High Value Bundle","1 anchor + 1 slow mover",IF(F60="Medium Value Bundle","1 anchor + 2 slow movers","1 anchor + 2 slow movers (aggressive clearout)")))</f>
        <v/>
      </c>
      <c r="L60">
        <f>IF(B60="","",IF(Scoring_Model!V60&lt;&gt;"Yes","Not a slow-mover bundle candidate","Bundle to move slow stock with controlled discount"))</f>
        <v/>
      </c>
    </row>
    <row r="61">
      <c r="A61">
        <f>IF(Scoring_Model!V61&lt;&gt;"Yes","","RB-"&amp;TEXT(COUNTIF(Scoring_Model!$V$2:$V61,"Yes"),"000000"))</f>
        <v/>
      </c>
      <c r="B61">
        <f>Scoring_Model!A61</f>
        <v/>
      </c>
      <c r="C61">
        <f>Scoring_Model!B61</f>
        <v/>
      </c>
      <c r="D61">
        <f>Scoring_Model!C61</f>
        <v/>
      </c>
      <c r="E61">
        <f>Scoring_Model!S61</f>
        <v/>
      </c>
      <c r="F61">
        <f>Scoring_Model!T61</f>
        <v/>
      </c>
      <c r="G61" s="2">
        <f>Scoring_Model!R61</f>
        <v/>
      </c>
      <c r="H61">
        <f>Scoring_Model!P61</f>
        <v/>
      </c>
      <c r="I61">
        <f>IF(Scoring_Model!V61&lt;&gt;"Yes","",IFERROR(XLOOKUP(D61&amp;"|anchor",Scoring_Model!$X$2:$X$300,Scoring_Model!$Y$2:$Y$300,INDEX(Scoring_Model!$Y$2:$Y$300,MATCH("Yes",Scoring_Model!$U$2:$U$300,0))),"No anchor found"))</f>
        <v/>
      </c>
      <c r="J61" s="2">
        <f>Scoring_Model!W61</f>
        <v/>
      </c>
      <c r="K61">
        <f>IF(Scoring_Model!V61&lt;&gt;"Yes","",IF(F61="High Value Bundle","1 anchor + 1 slow mover",IF(F61="Medium Value Bundle","1 anchor + 2 slow movers","1 anchor + 2 slow movers (aggressive clearout)")))</f>
        <v/>
      </c>
      <c r="L61">
        <f>IF(B61="","",IF(Scoring_Model!V61&lt;&gt;"Yes","Not a slow-mover bundle candidate","Bundle to move slow stock with controlled discount"))</f>
        <v/>
      </c>
    </row>
    <row r="62">
      <c r="A62">
        <f>IF(Scoring_Model!V62&lt;&gt;"Yes","","RB-"&amp;TEXT(COUNTIF(Scoring_Model!$V$2:$V62,"Yes"),"000000"))</f>
        <v/>
      </c>
      <c r="B62">
        <f>Scoring_Model!A62</f>
        <v/>
      </c>
      <c r="C62">
        <f>Scoring_Model!B62</f>
        <v/>
      </c>
      <c r="D62">
        <f>Scoring_Model!C62</f>
        <v/>
      </c>
      <c r="E62">
        <f>Scoring_Model!S62</f>
        <v/>
      </c>
      <c r="F62">
        <f>Scoring_Model!T62</f>
        <v/>
      </c>
      <c r="G62" s="2">
        <f>Scoring_Model!R62</f>
        <v/>
      </c>
      <c r="H62">
        <f>Scoring_Model!P62</f>
        <v/>
      </c>
      <c r="I62">
        <f>IF(Scoring_Model!V62&lt;&gt;"Yes","",IFERROR(XLOOKUP(D62&amp;"|anchor",Scoring_Model!$X$2:$X$300,Scoring_Model!$Y$2:$Y$300,INDEX(Scoring_Model!$Y$2:$Y$300,MATCH("Yes",Scoring_Model!$U$2:$U$300,0))),"No anchor found"))</f>
        <v/>
      </c>
      <c r="J62" s="2">
        <f>Scoring_Model!W62</f>
        <v/>
      </c>
      <c r="K62">
        <f>IF(Scoring_Model!V62&lt;&gt;"Yes","",IF(F62="High Value Bundle","1 anchor + 1 slow mover",IF(F62="Medium Value Bundle","1 anchor + 2 slow movers","1 anchor + 2 slow movers (aggressive clearout)")))</f>
        <v/>
      </c>
      <c r="L62">
        <f>IF(B62="","",IF(Scoring_Model!V62&lt;&gt;"Yes","Not a slow-mover bundle candidate","Bundle to move slow stock with controlled discount"))</f>
        <v/>
      </c>
    </row>
    <row r="63">
      <c r="A63">
        <f>IF(Scoring_Model!V63&lt;&gt;"Yes","","RB-"&amp;TEXT(COUNTIF(Scoring_Model!$V$2:$V63,"Yes"),"000000"))</f>
        <v/>
      </c>
      <c r="B63">
        <f>Scoring_Model!A63</f>
        <v/>
      </c>
      <c r="C63">
        <f>Scoring_Model!B63</f>
        <v/>
      </c>
      <c r="D63">
        <f>Scoring_Model!C63</f>
        <v/>
      </c>
      <c r="E63">
        <f>Scoring_Model!S63</f>
        <v/>
      </c>
      <c r="F63">
        <f>Scoring_Model!T63</f>
        <v/>
      </c>
      <c r="G63" s="2">
        <f>Scoring_Model!R63</f>
        <v/>
      </c>
      <c r="H63">
        <f>Scoring_Model!P63</f>
        <v/>
      </c>
      <c r="I63">
        <f>IF(Scoring_Model!V63&lt;&gt;"Yes","",IFERROR(XLOOKUP(D63&amp;"|anchor",Scoring_Model!$X$2:$X$300,Scoring_Model!$Y$2:$Y$300,INDEX(Scoring_Model!$Y$2:$Y$300,MATCH("Yes",Scoring_Model!$U$2:$U$300,0))),"No anchor found"))</f>
        <v/>
      </c>
      <c r="J63" s="2">
        <f>Scoring_Model!W63</f>
        <v/>
      </c>
      <c r="K63">
        <f>IF(Scoring_Model!V63&lt;&gt;"Yes","",IF(F63="High Value Bundle","1 anchor + 1 slow mover",IF(F63="Medium Value Bundle","1 anchor + 2 slow movers","1 anchor + 2 slow movers (aggressive clearout)")))</f>
        <v/>
      </c>
      <c r="L63">
        <f>IF(B63="","",IF(Scoring_Model!V63&lt;&gt;"Yes","Not a slow-mover bundle candidate","Bundle to move slow stock with controlled discount"))</f>
        <v/>
      </c>
    </row>
    <row r="64">
      <c r="A64">
        <f>IF(Scoring_Model!V64&lt;&gt;"Yes","","RB-"&amp;TEXT(COUNTIF(Scoring_Model!$V$2:$V64,"Yes"),"000000"))</f>
        <v/>
      </c>
      <c r="B64">
        <f>Scoring_Model!A64</f>
        <v/>
      </c>
      <c r="C64">
        <f>Scoring_Model!B64</f>
        <v/>
      </c>
      <c r="D64">
        <f>Scoring_Model!C64</f>
        <v/>
      </c>
      <c r="E64">
        <f>Scoring_Model!S64</f>
        <v/>
      </c>
      <c r="F64">
        <f>Scoring_Model!T64</f>
        <v/>
      </c>
      <c r="G64" s="2">
        <f>Scoring_Model!R64</f>
        <v/>
      </c>
      <c r="H64">
        <f>Scoring_Model!P64</f>
        <v/>
      </c>
      <c r="I64">
        <f>IF(Scoring_Model!V64&lt;&gt;"Yes","",IFERROR(XLOOKUP(D64&amp;"|anchor",Scoring_Model!$X$2:$X$300,Scoring_Model!$Y$2:$Y$300,INDEX(Scoring_Model!$Y$2:$Y$300,MATCH("Yes",Scoring_Model!$U$2:$U$300,0))),"No anchor found"))</f>
        <v/>
      </c>
      <c r="J64" s="2">
        <f>Scoring_Model!W64</f>
        <v/>
      </c>
      <c r="K64">
        <f>IF(Scoring_Model!V64&lt;&gt;"Yes","",IF(F64="High Value Bundle","1 anchor + 1 slow mover",IF(F64="Medium Value Bundle","1 anchor + 2 slow movers","1 anchor + 2 slow movers (aggressive clearout)")))</f>
        <v/>
      </c>
      <c r="L64">
        <f>IF(B64="","",IF(Scoring_Model!V64&lt;&gt;"Yes","Not a slow-mover bundle candidate","Bundle to move slow stock with controlled discount"))</f>
        <v/>
      </c>
    </row>
    <row r="65">
      <c r="A65">
        <f>IF(Scoring_Model!V65&lt;&gt;"Yes","","RB-"&amp;TEXT(COUNTIF(Scoring_Model!$V$2:$V65,"Yes"),"000000"))</f>
        <v/>
      </c>
      <c r="B65">
        <f>Scoring_Model!A65</f>
        <v/>
      </c>
      <c r="C65">
        <f>Scoring_Model!B65</f>
        <v/>
      </c>
      <c r="D65">
        <f>Scoring_Model!C65</f>
        <v/>
      </c>
      <c r="E65">
        <f>Scoring_Model!S65</f>
        <v/>
      </c>
      <c r="F65">
        <f>Scoring_Model!T65</f>
        <v/>
      </c>
      <c r="G65" s="2">
        <f>Scoring_Model!R65</f>
        <v/>
      </c>
      <c r="H65">
        <f>Scoring_Model!P65</f>
        <v/>
      </c>
      <c r="I65">
        <f>IF(Scoring_Model!V65&lt;&gt;"Yes","",IFERROR(XLOOKUP(D65&amp;"|anchor",Scoring_Model!$X$2:$X$300,Scoring_Model!$Y$2:$Y$300,INDEX(Scoring_Model!$Y$2:$Y$300,MATCH("Yes",Scoring_Model!$U$2:$U$300,0))),"No anchor found"))</f>
        <v/>
      </c>
      <c r="J65" s="2">
        <f>Scoring_Model!W65</f>
        <v/>
      </c>
      <c r="K65">
        <f>IF(Scoring_Model!V65&lt;&gt;"Yes","",IF(F65="High Value Bundle","1 anchor + 1 slow mover",IF(F65="Medium Value Bundle","1 anchor + 2 slow movers","1 anchor + 2 slow movers (aggressive clearout)")))</f>
        <v/>
      </c>
      <c r="L65">
        <f>IF(B65="","",IF(Scoring_Model!V65&lt;&gt;"Yes","Not a slow-mover bundle candidate","Bundle to move slow stock with controlled discount"))</f>
        <v/>
      </c>
    </row>
    <row r="66">
      <c r="A66">
        <f>IF(Scoring_Model!V66&lt;&gt;"Yes","","RB-"&amp;TEXT(COUNTIF(Scoring_Model!$V$2:$V66,"Yes"),"000000"))</f>
        <v/>
      </c>
      <c r="B66">
        <f>Scoring_Model!A66</f>
        <v/>
      </c>
      <c r="C66">
        <f>Scoring_Model!B66</f>
        <v/>
      </c>
      <c r="D66">
        <f>Scoring_Model!C66</f>
        <v/>
      </c>
      <c r="E66">
        <f>Scoring_Model!S66</f>
        <v/>
      </c>
      <c r="F66">
        <f>Scoring_Model!T66</f>
        <v/>
      </c>
      <c r="G66" s="2">
        <f>Scoring_Model!R66</f>
        <v/>
      </c>
      <c r="H66">
        <f>Scoring_Model!P66</f>
        <v/>
      </c>
      <c r="I66">
        <f>IF(Scoring_Model!V66&lt;&gt;"Yes","",IFERROR(XLOOKUP(D66&amp;"|anchor",Scoring_Model!$X$2:$X$300,Scoring_Model!$Y$2:$Y$300,INDEX(Scoring_Model!$Y$2:$Y$300,MATCH("Yes",Scoring_Model!$U$2:$U$300,0))),"No anchor found"))</f>
        <v/>
      </c>
      <c r="J66" s="2">
        <f>Scoring_Model!W66</f>
        <v/>
      </c>
      <c r="K66">
        <f>IF(Scoring_Model!V66&lt;&gt;"Yes","",IF(F66="High Value Bundle","1 anchor + 1 slow mover",IF(F66="Medium Value Bundle","1 anchor + 2 slow movers","1 anchor + 2 slow movers (aggressive clearout)")))</f>
        <v/>
      </c>
      <c r="L66">
        <f>IF(B66="","",IF(Scoring_Model!V66&lt;&gt;"Yes","Not a slow-mover bundle candidate","Bundle to move slow stock with controlled discount"))</f>
        <v/>
      </c>
    </row>
    <row r="67">
      <c r="A67">
        <f>IF(Scoring_Model!V67&lt;&gt;"Yes","","RB-"&amp;TEXT(COUNTIF(Scoring_Model!$V$2:$V67,"Yes"),"000000"))</f>
        <v/>
      </c>
      <c r="B67">
        <f>Scoring_Model!A67</f>
        <v/>
      </c>
      <c r="C67">
        <f>Scoring_Model!B67</f>
        <v/>
      </c>
      <c r="D67">
        <f>Scoring_Model!C67</f>
        <v/>
      </c>
      <c r="E67">
        <f>Scoring_Model!S67</f>
        <v/>
      </c>
      <c r="F67">
        <f>Scoring_Model!T67</f>
        <v/>
      </c>
      <c r="G67" s="2">
        <f>Scoring_Model!R67</f>
        <v/>
      </c>
      <c r="H67">
        <f>Scoring_Model!P67</f>
        <v/>
      </c>
      <c r="I67">
        <f>IF(Scoring_Model!V67&lt;&gt;"Yes","",IFERROR(XLOOKUP(D67&amp;"|anchor",Scoring_Model!$X$2:$X$300,Scoring_Model!$Y$2:$Y$300,INDEX(Scoring_Model!$Y$2:$Y$300,MATCH("Yes",Scoring_Model!$U$2:$U$300,0))),"No anchor found"))</f>
        <v/>
      </c>
      <c r="J67" s="2">
        <f>Scoring_Model!W67</f>
        <v/>
      </c>
      <c r="K67">
        <f>IF(Scoring_Model!V67&lt;&gt;"Yes","",IF(F67="High Value Bundle","1 anchor + 1 slow mover",IF(F67="Medium Value Bundle","1 anchor + 2 slow movers","1 anchor + 2 slow movers (aggressive clearout)")))</f>
        <v/>
      </c>
      <c r="L67">
        <f>IF(B67="","",IF(Scoring_Model!V67&lt;&gt;"Yes","Not a slow-mover bundle candidate","Bundle to move slow stock with controlled discount"))</f>
        <v/>
      </c>
    </row>
    <row r="68">
      <c r="A68">
        <f>IF(Scoring_Model!V68&lt;&gt;"Yes","","RB-"&amp;TEXT(COUNTIF(Scoring_Model!$V$2:$V68,"Yes"),"000000"))</f>
        <v/>
      </c>
      <c r="B68">
        <f>Scoring_Model!A68</f>
        <v/>
      </c>
      <c r="C68">
        <f>Scoring_Model!B68</f>
        <v/>
      </c>
      <c r="D68">
        <f>Scoring_Model!C68</f>
        <v/>
      </c>
      <c r="E68">
        <f>Scoring_Model!S68</f>
        <v/>
      </c>
      <c r="F68">
        <f>Scoring_Model!T68</f>
        <v/>
      </c>
      <c r="G68" s="2">
        <f>Scoring_Model!R68</f>
        <v/>
      </c>
      <c r="H68">
        <f>Scoring_Model!P68</f>
        <v/>
      </c>
      <c r="I68">
        <f>IF(Scoring_Model!V68&lt;&gt;"Yes","",IFERROR(XLOOKUP(D68&amp;"|anchor",Scoring_Model!$X$2:$X$300,Scoring_Model!$Y$2:$Y$300,INDEX(Scoring_Model!$Y$2:$Y$300,MATCH("Yes",Scoring_Model!$U$2:$U$300,0))),"No anchor found"))</f>
        <v/>
      </c>
      <c r="J68" s="2">
        <f>Scoring_Model!W68</f>
        <v/>
      </c>
      <c r="K68">
        <f>IF(Scoring_Model!V68&lt;&gt;"Yes","",IF(F68="High Value Bundle","1 anchor + 1 slow mover",IF(F68="Medium Value Bundle","1 anchor + 2 slow movers","1 anchor + 2 slow movers (aggressive clearout)")))</f>
        <v/>
      </c>
      <c r="L68">
        <f>IF(B68="","",IF(Scoring_Model!V68&lt;&gt;"Yes","Not a slow-mover bundle candidate","Bundle to move slow stock with controlled discount"))</f>
        <v/>
      </c>
    </row>
    <row r="69">
      <c r="A69">
        <f>IF(Scoring_Model!V69&lt;&gt;"Yes","","RB-"&amp;TEXT(COUNTIF(Scoring_Model!$V$2:$V69,"Yes"),"000000"))</f>
        <v/>
      </c>
      <c r="B69">
        <f>Scoring_Model!A69</f>
        <v/>
      </c>
      <c r="C69">
        <f>Scoring_Model!B69</f>
        <v/>
      </c>
      <c r="D69">
        <f>Scoring_Model!C69</f>
        <v/>
      </c>
      <c r="E69">
        <f>Scoring_Model!S69</f>
        <v/>
      </c>
      <c r="F69">
        <f>Scoring_Model!T69</f>
        <v/>
      </c>
      <c r="G69" s="2">
        <f>Scoring_Model!R69</f>
        <v/>
      </c>
      <c r="H69">
        <f>Scoring_Model!P69</f>
        <v/>
      </c>
      <c r="I69">
        <f>IF(Scoring_Model!V69&lt;&gt;"Yes","",IFERROR(XLOOKUP(D69&amp;"|anchor",Scoring_Model!$X$2:$X$300,Scoring_Model!$Y$2:$Y$300,INDEX(Scoring_Model!$Y$2:$Y$300,MATCH("Yes",Scoring_Model!$U$2:$U$300,0))),"No anchor found"))</f>
        <v/>
      </c>
      <c r="J69" s="2">
        <f>Scoring_Model!W69</f>
        <v/>
      </c>
      <c r="K69">
        <f>IF(Scoring_Model!V69&lt;&gt;"Yes","",IF(F69="High Value Bundle","1 anchor + 1 slow mover",IF(F69="Medium Value Bundle","1 anchor + 2 slow movers","1 anchor + 2 slow movers (aggressive clearout)")))</f>
        <v/>
      </c>
      <c r="L69">
        <f>IF(B69="","",IF(Scoring_Model!V69&lt;&gt;"Yes","Not a slow-mover bundle candidate","Bundle to move slow stock with controlled discount"))</f>
        <v/>
      </c>
    </row>
    <row r="70">
      <c r="A70">
        <f>IF(Scoring_Model!V70&lt;&gt;"Yes","","RB-"&amp;TEXT(COUNTIF(Scoring_Model!$V$2:$V70,"Yes"),"000000"))</f>
        <v/>
      </c>
      <c r="B70">
        <f>Scoring_Model!A70</f>
        <v/>
      </c>
      <c r="C70">
        <f>Scoring_Model!B70</f>
        <v/>
      </c>
      <c r="D70">
        <f>Scoring_Model!C70</f>
        <v/>
      </c>
      <c r="E70">
        <f>Scoring_Model!S70</f>
        <v/>
      </c>
      <c r="F70">
        <f>Scoring_Model!T70</f>
        <v/>
      </c>
      <c r="G70" s="2">
        <f>Scoring_Model!R70</f>
        <v/>
      </c>
      <c r="H70">
        <f>Scoring_Model!P70</f>
        <v/>
      </c>
      <c r="I70">
        <f>IF(Scoring_Model!V70&lt;&gt;"Yes","",IFERROR(XLOOKUP(D70&amp;"|anchor",Scoring_Model!$X$2:$X$300,Scoring_Model!$Y$2:$Y$300,INDEX(Scoring_Model!$Y$2:$Y$300,MATCH("Yes",Scoring_Model!$U$2:$U$300,0))),"No anchor found"))</f>
        <v/>
      </c>
      <c r="J70" s="2">
        <f>Scoring_Model!W70</f>
        <v/>
      </c>
      <c r="K70">
        <f>IF(Scoring_Model!V70&lt;&gt;"Yes","",IF(F70="High Value Bundle","1 anchor + 1 slow mover",IF(F70="Medium Value Bundle","1 anchor + 2 slow movers","1 anchor + 2 slow movers (aggressive clearout)")))</f>
        <v/>
      </c>
      <c r="L70">
        <f>IF(B70="","",IF(Scoring_Model!V70&lt;&gt;"Yes","Not a slow-mover bundle candidate","Bundle to move slow stock with controlled discount"))</f>
        <v/>
      </c>
    </row>
    <row r="71">
      <c r="A71">
        <f>IF(Scoring_Model!V71&lt;&gt;"Yes","","RB-"&amp;TEXT(COUNTIF(Scoring_Model!$V$2:$V71,"Yes"),"000000"))</f>
        <v/>
      </c>
      <c r="B71">
        <f>Scoring_Model!A71</f>
        <v/>
      </c>
      <c r="C71">
        <f>Scoring_Model!B71</f>
        <v/>
      </c>
      <c r="D71">
        <f>Scoring_Model!C71</f>
        <v/>
      </c>
      <c r="E71">
        <f>Scoring_Model!S71</f>
        <v/>
      </c>
      <c r="F71">
        <f>Scoring_Model!T71</f>
        <v/>
      </c>
      <c r="G71" s="2">
        <f>Scoring_Model!R71</f>
        <v/>
      </c>
      <c r="H71">
        <f>Scoring_Model!P71</f>
        <v/>
      </c>
      <c r="I71">
        <f>IF(Scoring_Model!V71&lt;&gt;"Yes","",IFERROR(XLOOKUP(D71&amp;"|anchor",Scoring_Model!$X$2:$X$300,Scoring_Model!$Y$2:$Y$300,INDEX(Scoring_Model!$Y$2:$Y$300,MATCH("Yes",Scoring_Model!$U$2:$U$300,0))),"No anchor found"))</f>
        <v/>
      </c>
      <c r="J71" s="2">
        <f>Scoring_Model!W71</f>
        <v/>
      </c>
      <c r="K71">
        <f>IF(Scoring_Model!V71&lt;&gt;"Yes","",IF(F71="High Value Bundle","1 anchor + 1 slow mover",IF(F71="Medium Value Bundle","1 anchor + 2 slow movers","1 anchor + 2 slow movers (aggressive clearout)")))</f>
        <v/>
      </c>
      <c r="L71">
        <f>IF(B71="","",IF(Scoring_Model!V71&lt;&gt;"Yes","Not a slow-mover bundle candidate","Bundle to move slow stock with controlled discount"))</f>
        <v/>
      </c>
    </row>
    <row r="72">
      <c r="A72">
        <f>IF(Scoring_Model!V72&lt;&gt;"Yes","","RB-"&amp;TEXT(COUNTIF(Scoring_Model!$V$2:$V72,"Yes"),"000000"))</f>
        <v/>
      </c>
      <c r="B72">
        <f>Scoring_Model!A72</f>
        <v/>
      </c>
      <c r="C72">
        <f>Scoring_Model!B72</f>
        <v/>
      </c>
      <c r="D72">
        <f>Scoring_Model!C72</f>
        <v/>
      </c>
      <c r="E72">
        <f>Scoring_Model!S72</f>
        <v/>
      </c>
      <c r="F72">
        <f>Scoring_Model!T72</f>
        <v/>
      </c>
      <c r="G72" s="2">
        <f>Scoring_Model!R72</f>
        <v/>
      </c>
      <c r="H72">
        <f>Scoring_Model!P72</f>
        <v/>
      </c>
      <c r="I72">
        <f>IF(Scoring_Model!V72&lt;&gt;"Yes","",IFERROR(XLOOKUP(D72&amp;"|anchor",Scoring_Model!$X$2:$X$300,Scoring_Model!$Y$2:$Y$300,INDEX(Scoring_Model!$Y$2:$Y$300,MATCH("Yes",Scoring_Model!$U$2:$U$300,0))),"No anchor found"))</f>
        <v/>
      </c>
      <c r="J72" s="2">
        <f>Scoring_Model!W72</f>
        <v/>
      </c>
      <c r="K72">
        <f>IF(Scoring_Model!V72&lt;&gt;"Yes","",IF(F72="High Value Bundle","1 anchor + 1 slow mover",IF(F72="Medium Value Bundle","1 anchor + 2 slow movers","1 anchor + 2 slow movers (aggressive clearout)")))</f>
        <v/>
      </c>
      <c r="L72">
        <f>IF(B72="","",IF(Scoring_Model!V72&lt;&gt;"Yes","Not a slow-mover bundle candidate","Bundle to move slow stock with controlled discount"))</f>
        <v/>
      </c>
    </row>
    <row r="73">
      <c r="A73">
        <f>IF(Scoring_Model!V73&lt;&gt;"Yes","","RB-"&amp;TEXT(COUNTIF(Scoring_Model!$V$2:$V73,"Yes"),"000000"))</f>
        <v/>
      </c>
      <c r="B73">
        <f>Scoring_Model!A73</f>
        <v/>
      </c>
      <c r="C73">
        <f>Scoring_Model!B73</f>
        <v/>
      </c>
      <c r="D73">
        <f>Scoring_Model!C73</f>
        <v/>
      </c>
      <c r="E73">
        <f>Scoring_Model!S73</f>
        <v/>
      </c>
      <c r="F73">
        <f>Scoring_Model!T73</f>
        <v/>
      </c>
      <c r="G73" s="2">
        <f>Scoring_Model!R73</f>
        <v/>
      </c>
      <c r="H73">
        <f>Scoring_Model!P73</f>
        <v/>
      </c>
      <c r="I73">
        <f>IF(Scoring_Model!V73&lt;&gt;"Yes","",IFERROR(XLOOKUP(D73&amp;"|anchor",Scoring_Model!$X$2:$X$300,Scoring_Model!$Y$2:$Y$300,INDEX(Scoring_Model!$Y$2:$Y$300,MATCH("Yes",Scoring_Model!$U$2:$U$300,0))),"No anchor found"))</f>
        <v/>
      </c>
      <c r="J73" s="2">
        <f>Scoring_Model!W73</f>
        <v/>
      </c>
      <c r="K73">
        <f>IF(Scoring_Model!V73&lt;&gt;"Yes","",IF(F73="High Value Bundle","1 anchor + 1 slow mover",IF(F73="Medium Value Bundle","1 anchor + 2 slow movers","1 anchor + 2 slow movers (aggressive clearout)")))</f>
        <v/>
      </c>
      <c r="L73">
        <f>IF(B73="","",IF(Scoring_Model!V73&lt;&gt;"Yes","Not a slow-mover bundle candidate","Bundle to move slow stock with controlled discount"))</f>
        <v/>
      </c>
    </row>
    <row r="74">
      <c r="A74">
        <f>IF(Scoring_Model!V74&lt;&gt;"Yes","","RB-"&amp;TEXT(COUNTIF(Scoring_Model!$V$2:$V74,"Yes"),"000000"))</f>
        <v/>
      </c>
      <c r="B74">
        <f>Scoring_Model!A74</f>
        <v/>
      </c>
      <c r="C74">
        <f>Scoring_Model!B74</f>
        <v/>
      </c>
      <c r="D74">
        <f>Scoring_Model!C74</f>
        <v/>
      </c>
      <c r="E74">
        <f>Scoring_Model!S74</f>
        <v/>
      </c>
      <c r="F74">
        <f>Scoring_Model!T74</f>
        <v/>
      </c>
      <c r="G74" s="2">
        <f>Scoring_Model!R74</f>
        <v/>
      </c>
      <c r="H74">
        <f>Scoring_Model!P74</f>
        <v/>
      </c>
      <c r="I74">
        <f>IF(Scoring_Model!V74&lt;&gt;"Yes","",IFERROR(XLOOKUP(D74&amp;"|anchor",Scoring_Model!$X$2:$X$300,Scoring_Model!$Y$2:$Y$300,INDEX(Scoring_Model!$Y$2:$Y$300,MATCH("Yes",Scoring_Model!$U$2:$U$300,0))),"No anchor found"))</f>
        <v/>
      </c>
      <c r="J74" s="2">
        <f>Scoring_Model!W74</f>
        <v/>
      </c>
      <c r="K74">
        <f>IF(Scoring_Model!V74&lt;&gt;"Yes","",IF(F74="High Value Bundle","1 anchor + 1 slow mover",IF(F74="Medium Value Bundle","1 anchor + 2 slow movers","1 anchor + 2 slow movers (aggressive clearout)")))</f>
        <v/>
      </c>
      <c r="L74">
        <f>IF(B74="","",IF(Scoring_Model!V74&lt;&gt;"Yes","Not a slow-mover bundle candidate","Bundle to move slow stock with controlled discount"))</f>
        <v/>
      </c>
    </row>
    <row r="75">
      <c r="A75">
        <f>IF(Scoring_Model!V75&lt;&gt;"Yes","","RB-"&amp;TEXT(COUNTIF(Scoring_Model!$V$2:$V75,"Yes"),"000000"))</f>
        <v/>
      </c>
      <c r="B75">
        <f>Scoring_Model!A75</f>
        <v/>
      </c>
      <c r="C75">
        <f>Scoring_Model!B75</f>
        <v/>
      </c>
      <c r="D75">
        <f>Scoring_Model!C75</f>
        <v/>
      </c>
      <c r="E75">
        <f>Scoring_Model!S75</f>
        <v/>
      </c>
      <c r="F75">
        <f>Scoring_Model!T75</f>
        <v/>
      </c>
      <c r="G75" s="2">
        <f>Scoring_Model!R75</f>
        <v/>
      </c>
      <c r="H75">
        <f>Scoring_Model!P75</f>
        <v/>
      </c>
      <c r="I75">
        <f>IF(Scoring_Model!V75&lt;&gt;"Yes","",IFERROR(XLOOKUP(D75&amp;"|anchor",Scoring_Model!$X$2:$X$300,Scoring_Model!$Y$2:$Y$300,INDEX(Scoring_Model!$Y$2:$Y$300,MATCH("Yes",Scoring_Model!$U$2:$U$300,0))),"No anchor found"))</f>
        <v/>
      </c>
      <c r="J75" s="2">
        <f>Scoring_Model!W75</f>
        <v/>
      </c>
      <c r="K75">
        <f>IF(Scoring_Model!V75&lt;&gt;"Yes","",IF(F75="High Value Bundle","1 anchor + 1 slow mover",IF(F75="Medium Value Bundle","1 anchor + 2 slow movers","1 anchor + 2 slow movers (aggressive clearout)")))</f>
        <v/>
      </c>
      <c r="L75">
        <f>IF(B75="","",IF(Scoring_Model!V75&lt;&gt;"Yes","Not a slow-mover bundle candidate","Bundle to move slow stock with controlled discount"))</f>
        <v/>
      </c>
    </row>
    <row r="76">
      <c r="A76">
        <f>IF(Scoring_Model!V76&lt;&gt;"Yes","","RB-"&amp;TEXT(COUNTIF(Scoring_Model!$V$2:$V76,"Yes"),"000000"))</f>
        <v/>
      </c>
      <c r="B76">
        <f>Scoring_Model!A76</f>
        <v/>
      </c>
      <c r="C76">
        <f>Scoring_Model!B76</f>
        <v/>
      </c>
      <c r="D76">
        <f>Scoring_Model!C76</f>
        <v/>
      </c>
      <c r="E76">
        <f>Scoring_Model!S76</f>
        <v/>
      </c>
      <c r="F76">
        <f>Scoring_Model!T76</f>
        <v/>
      </c>
      <c r="G76" s="2">
        <f>Scoring_Model!R76</f>
        <v/>
      </c>
      <c r="H76">
        <f>Scoring_Model!P76</f>
        <v/>
      </c>
      <c r="I76">
        <f>IF(Scoring_Model!V76&lt;&gt;"Yes","",IFERROR(XLOOKUP(D76&amp;"|anchor",Scoring_Model!$X$2:$X$300,Scoring_Model!$Y$2:$Y$300,INDEX(Scoring_Model!$Y$2:$Y$300,MATCH("Yes",Scoring_Model!$U$2:$U$300,0))),"No anchor found"))</f>
        <v/>
      </c>
      <c r="J76" s="2">
        <f>Scoring_Model!W76</f>
        <v/>
      </c>
      <c r="K76">
        <f>IF(Scoring_Model!V76&lt;&gt;"Yes","",IF(F76="High Value Bundle","1 anchor + 1 slow mover",IF(F76="Medium Value Bundle","1 anchor + 2 slow movers","1 anchor + 2 slow movers (aggressive clearout)")))</f>
        <v/>
      </c>
      <c r="L76">
        <f>IF(B76="","",IF(Scoring_Model!V76&lt;&gt;"Yes","Not a slow-mover bundle candidate","Bundle to move slow stock with controlled discount"))</f>
        <v/>
      </c>
    </row>
    <row r="77">
      <c r="A77">
        <f>IF(Scoring_Model!V77&lt;&gt;"Yes","","RB-"&amp;TEXT(COUNTIF(Scoring_Model!$V$2:$V77,"Yes"),"000000"))</f>
        <v/>
      </c>
      <c r="B77">
        <f>Scoring_Model!A77</f>
        <v/>
      </c>
      <c r="C77">
        <f>Scoring_Model!B77</f>
        <v/>
      </c>
      <c r="D77">
        <f>Scoring_Model!C77</f>
        <v/>
      </c>
      <c r="E77">
        <f>Scoring_Model!S77</f>
        <v/>
      </c>
      <c r="F77">
        <f>Scoring_Model!T77</f>
        <v/>
      </c>
      <c r="G77" s="2">
        <f>Scoring_Model!R77</f>
        <v/>
      </c>
      <c r="H77">
        <f>Scoring_Model!P77</f>
        <v/>
      </c>
      <c r="I77">
        <f>IF(Scoring_Model!V77&lt;&gt;"Yes","",IFERROR(XLOOKUP(D77&amp;"|anchor",Scoring_Model!$X$2:$X$300,Scoring_Model!$Y$2:$Y$300,INDEX(Scoring_Model!$Y$2:$Y$300,MATCH("Yes",Scoring_Model!$U$2:$U$300,0))),"No anchor found"))</f>
        <v/>
      </c>
      <c r="J77" s="2">
        <f>Scoring_Model!W77</f>
        <v/>
      </c>
      <c r="K77">
        <f>IF(Scoring_Model!V77&lt;&gt;"Yes","",IF(F77="High Value Bundle","1 anchor + 1 slow mover",IF(F77="Medium Value Bundle","1 anchor + 2 slow movers","1 anchor + 2 slow movers (aggressive clearout)")))</f>
        <v/>
      </c>
      <c r="L77">
        <f>IF(B77="","",IF(Scoring_Model!V77&lt;&gt;"Yes","Not a slow-mover bundle candidate","Bundle to move slow stock with controlled discount"))</f>
        <v/>
      </c>
    </row>
    <row r="78">
      <c r="A78">
        <f>IF(Scoring_Model!V78&lt;&gt;"Yes","","RB-"&amp;TEXT(COUNTIF(Scoring_Model!$V$2:$V78,"Yes"),"000000"))</f>
        <v/>
      </c>
      <c r="B78">
        <f>Scoring_Model!A78</f>
        <v/>
      </c>
      <c r="C78">
        <f>Scoring_Model!B78</f>
        <v/>
      </c>
      <c r="D78">
        <f>Scoring_Model!C78</f>
        <v/>
      </c>
      <c r="E78">
        <f>Scoring_Model!S78</f>
        <v/>
      </c>
      <c r="F78">
        <f>Scoring_Model!T78</f>
        <v/>
      </c>
      <c r="G78" s="2">
        <f>Scoring_Model!R78</f>
        <v/>
      </c>
      <c r="H78">
        <f>Scoring_Model!P78</f>
        <v/>
      </c>
      <c r="I78">
        <f>IF(Scoring_Model!V78&lt;&gt;"Yes","",IFERROR(XLOOKUP(D78&amp;"|anchor",Scoring_Model!$X$2:$X$300,Scoring_Model!$Y$2:$Y$300,INDEX(Scoring_Model!$Y$2:$Y$300,MATCH("Yes",Scoring_Model!$U$2:$U$300,0))),"No anchor found"))</f>
        <v/>
      </c>
      <c r="J78" s="2">
        <f>Scoring_Model!W78</f>
        <v/>
      </c>
      <c r="K78">
        <f>IF(Scoring_Model!V78&lt;&gt;"Yes","",IF(F78="High Value Bundle","1 anchor + 1 slow mover",IF(F78="Medium Value Bundle","1 anchor + 2 slow movers","1 anchor + 2 slow movers (aggressive clearout)")))</f>
        <v/>
      </c>
      <c r="L78">
        <f>IF(B78="","",IF(Scoring_Model!V78&lt;&gt;"Yes","Not a slow-mover bundle candidate","Bundle to move slow stock with controlled discount"))</f>
        <v/>
      </c>
    </row>
    <row r="79">
      <c r="A79">
        <f>IF(Scoring_Model!V79&lt;&gt;"Yes","","RB-"&amp;TEXT(COUNTIF(Scoring_Model!$V$2:$V79,"Yes"),"000000"))</f>
        <v/>
      </c>
      <c r="B79">
        <f>Scoring_Model!A79</f>
        <v/>
      </c>
      <c r="C79">
        <f>Scoring_Model!B79</f>
        <v/>
      </c>
      <c r="D79">
        <f>Scoring_Model!C79</f>
        <v/>
      </c>
      <c r="E79">
        <f>Scoring_Model!S79</f>
        <v/>
      </c>
      <c r="F79">
        <f>Scoring_Model!T79</f>
        <v/>
      </c>
      <c r="G79" s="2">
        <f>Scoring_Model!R79</f>
        <v/>
      </c>
      <c r="H79">
        <f>Scoring_Model!P79</f>
        <v/>
      </c>
      <c r="I79">
        <f>IF(Scoring_Model!V79&lt;&gt;"Yes","",IFERROR(XLOOKUP(D79&amp;"|anchor",Scoring_Model!$X$2:$X$300,Scoring_Model!$Y$2:$Y$300,INDEX(Scoring_Model!$Y$2:$Y$300,MATCH("Yes",Scoring_Model!$U$2:$U$300,0))),"No anchor found"))</f>
        <v/>
      </c>
      <c r="J79" s="2">
        <f>Scoring_Model!W79</f>
        <v/>
      </c>
      <c r="K79">
        <f>IF(Scoring_Model!V79&lt;&gt;"Yes","",IF(F79="High Value Bundle","1 anchor + 1 slow mover",IF(F79="Medium Value Bundle","1 anchor + 2 slow movers","1 anchor + 2 slow movers (aggressive clearout)")))</f>
        <v/>
      </c>
      <c r="L79">
        <f>IF(B79="","",IF(Scoring_Model!V79&lt;&gt;"Yes","Not a slow-mover bundle candidate","Bundle to move slow stock with controlled discount"))</f>
        <v/>
      </c>
    </row>
    <row r="80">
      <c r="A80">
        <f>IF(Scoring_Model!V80&lt;&gt;"Yes","","RB-"&amp;TEXT(COUNTIF(Scoring_Model!$V$2:$V80,"Yes"),"000000"))</f>
        <v/>
      </c>
      <c r="B80">
        <f>Scoring_Model!A80</f>
        <v/>
      </c>
      <c r="C80">
        <f>Scoring_Model!B80</f>
        <v/>
      </c>
      <c r="D80">
        <f>Scoring_Model!C80</f>
        <v/>
      </c>
      <c r="E80">
        <f>Scoring_Model!S80</f>
        <v/>
      </c>
      <c r="F80">
        <f>Scoring_Model!T80</f>
        <v/>
      </c>
      <c r="G80" s="2">
        <f>Scoring_Model!R80</f>
        <v/>
      </c>
      <c r="H80">
        <f>Scoring_Model!P80</f>
        <v/>
      </c>
      <c r="I80">
        <f>IF(Scoring_Model!V80&lt;&gt;"Yes","",IFERROR(XLOOKUP(D80&amp;"|anchor",Scoring_Model!$X$2:$X$300,Scoring_Model!$Y$2:$Y$300,INDEX(Scoring_Model!$Y$2:$Y$300,MATCH("Yes",Scoring_Model!$U$2:$U$300,0))),"No anchor found"))</f>
        <v/>
      </c>
      <c r="J80" s="2">
        <f>Scoring_Model!W80</f>
        <v/>
      </c>
      <c r="K80">
        <f>IF(Scoring_Model!V80&lt;&gt;"Yes","",IF(F80="High Value Bundle","1 anchor + 1 slow mover",IF(F80="Medium Value Bundle","1 anchor + 2 slow movers","1 anchor + 2 slow movers (aggressive clearout)")))</f>
        <v/>
      </c>
      <c r="L80">
        <f>IF(B80="","",IF(Scoring_Model!V80&lt;&gt;"Yes","Not a slow-mover bundle candidate","Bundle to move slow stock with controlled discount"))</f>
        <v/>
      </c>
    </row>
    <row r="81">
      <c r="A81">
        <f>IF(Scoring_Model!V81&lt;&gt;"Yes","","RB-"&amp;TEXT(COUNTIF(Scoring_Model!$V$2:$V81,"Yes"),"000000"))</f>
        <v/>
      </c>
      <c r="B81">
        <f>Scoring_Model!A81</f>
        <v/>
      </c>
      <c r="C81">
        <f>Scoring_Model!B81</f>
        <v/>
      </c>
      <c r="D81">
        <f>Scoring_Model!C81</f>
        <v/>
      </c>
      <c r="E81">
        <f>Scoring_Model!S81</f>
        <v/>
      </c>
      <c r="F81">
        <f>Scoring_Model!T81</f>
        <v/>
      </c>
      <c r="G81" s="2">
        <f>Scoring_Model!R81</f>
        <v/>
      </c>
      <c r="H81">
        <f>Scoring_Model!P81</f>
        <v/>
      </c>
      <c r="I81">
        <f>IF(Scoring_Model!V81&lt;&gt;"Yes","",IFERROR(XLOOKUP(D81&amp;"|anchor",Scoring_Model!$X$2:$X$300,Scoring_Model!$Y$2:$Y$300,INDEX(Scoring_Model!$Y$2:$Y$300,MATCH("Yes",Scoring_Model!$U$2:$U$300,0))),"No anchor found"))</f>
        <v/>
      </c>
      <c r="J81" s="2">
        <f>Scoring_Model!W81</f>
        <v/>
      </c>
      <c r="K81">
        <f>IF(Scoring_Model!V81&lt;&gt;"Yes","",IF(F81="High Value Bundle","1 anchor + 1 slow mover",IF(F81="Medium Value Bundle","1 anchor + 2 slow movers","1 anchor + 2 slow movers (aggressive clearout)")))</f>
        <v/>
      </c>
      <c r="L81">
        <f>IF(B81="","",IF(Scoring_Model!V81&lt;&gt;"Yes","Not a slow-mover bundle candidate","Bundle to move slow stock with controlled discount"))</f>
        <v/>
      </c>
    </row>
    <row r="82">
      <c r="A82">
        <f>IF(Scoring_Model!V82&lt;&gt;"Yes","","RB-"&amp;TEXT(COUNTIF(Scoring_Model!$V$2:$V82,"Yes"),"000000"))</f>
        <v/>
      </c>
      <c r="B82">
        <f>Scoring_Model!A82</f>
        <v/>
      </c>
      <c r="C82">
        <f>Scoring_Model!B82</f>
        <v/>
      </c>
      <c r="D82">
        <f>Scoring_Model!C82</f>
        <v/>
      </c>
      <c r="E82">
        <f>Scoring_Model!S82</f>
        <v/>
      </c>
      <c r="F82">
        <f>Scoring_Model!T82</f>
        <v/>
      </c>
      <c r="G82" s="2">
        <f>Scoring_Model!R82</f>
        <v/>
      </c>
      <c r="H82">
        <f>Scoring_Model!P82</f>
        <v/>
      </c>
      <c r="I82">
        <f>IF(Scoring_Model!V82&lt;&gt;"Yes","",IFERROR(XLOOKUP(D82&amp;"|anchor",Scoring_Model!$X$2:$X$300,Scoring_Model!$Y$2:$Y$300,INDEX(Scoring_Model!$Y$2:$Y$300,MATCH("Yes",Scoring_Model!$U$2:$U$300,0))),"No anchor found"))</f>
        <v/>
      </c>
      <c r="J82" s="2">
        <f>Scoring_Model!W82</f>
        <v/>
      </c>
      <c r="K82">
        <f>IF(Scoring_Model!V82&lt;&gt;"Yes","",IF(F82="High Value Bundle","1 anchor + 1 slow mover",IF(F82="Medium Value Bundle","1 anchor + 2 slow movers","1 anchor + 2 slow movers (aggressive clearout)")))</f>
        <v/>
      </c>
      <c r="L82">
        <f>IF(B82="","",IF(Scoring_Model!V82&lt;&gt;"Yes","Not a slow-mover bundle candidate","Bundle to move slow stock with controlled discount"))</f>
        <v/>
      </c>
    </row>
    <row r="83">
      <c r="A83">
        <f>IF(Scoring_Model!V83&lt;&gt;"Yes","","RB-"&amp;TEXT(COUNTIF(Scoring_Model!$V$2:$V83,"Yes"),"000000"))</f>
        <v/>
      </c>
      <c r="B83">
        <f>Scoring_Model!A83</f>
        <v/>
      </c>
      <c r="C83">
        <f>Scoring_Model!B83</f>
        <v/>
      </c>
      <c r="D83">
        <f>Scoring_Model!C83</f>
        <v/>
      </c>
      <c r="E83">
        <f>Scoring_Model!S83</f>
        <v/>
      </c>
      <c r="F83">
        <f>Scoring_Model!T83</f>
        <v/>
      </c>
      <c r="G83" s="2">
        <f>Scoring_Model!R83</f>
        <v/>
      </c>
      <c r="H83">
        <f>Scoring_Model!P83</f>
        <v/>
      </c>
      <c r="I83">
        <f>IF(Scoring_Model!V83&lt;&gt;"Yes","",IFERROR(XLOOKUP(D83&amp;"|anchor",Scoring_Model!$X$2:$X$300,Scoring_Model!$Y$2:$Y$300,INDEX(Scoring_Model!$Y$2:$Y$300,MATCH("Yes",Scoring_Model!$U$2:$U$300,0))),"No anchor found"))</f>
        <v/>
      </c>
      <c r="J83" s="2">
        <f>Scoring_Model!W83</f>
        <v/>
      </c>
      <c r="K83">
        <f>IF(Scoring_Model!V83&lt;&gt;"Yes","",IF(F83="High Value Bundle","1 anchor + 1 slow mover",IF(F83="Medium Value Bundle","1 anchor + 2 slow movers","1 anchor + 2 slow movers (aggressive clearout)")))</f>
        <v/>
      </c>
      <c r="L83">
        <f>IF(B83="","",IF(Scoring_Model!V83&lt;&gt;"Yes","Not a slow-mover bundle candidate","Bundle to move slow stock with controlled discount"))</f>
        <v/>
      </c>
    </row>
    <row r="84">
      <c r="A84">
        <f>IF(Scoring_Model!V84&lt;&gt;"Yes","","RB-"&amp;TEXT(COUNTIF(Scoring_Model!$V$2:$V84,"Yes"),"000000"))</f>
        <v/>
      </c>
      <c r="B84">
        <f>Scoring_Model!A84</f>
        <v/>
      </c>
      <c r="C84">
        <f>Scoring_Model!B84</f>
        <v/>
      </c>
      <c r="D84">
        <f>Scoring_Model!C84</f>
        <v/>
      </c>
      <c r="E84">
        <f>Scoring_Model!S84</f>
        <v/>
      </c>
      <c r="F84">
        <f>Scoring_Model!T84</f>
        <v/>
      </c>
      <c r="G84" s="2">
        <f>Scoring_Model!R84</f>
        <v/>
      </c>
      <c r="H84">
        <f>Scoring_Model!P84</f>
        <v/>
      </c>
      <c r="I84">
        <f>IF(Scoring_Model!V84&lt;&gt;"Yes","",IFERROR(XLOOKUP(D84&amp;"|anchor",Scoring_Model!$X$2:$X$300,Scoring_Model!$Y$2:$Y$300,INDEX(Scoring_Model!$Y$2:$Y$300,MATCH("Yes",Scoring_Model!$U$2:$U$300,0))),"No anchor found"))</f>
        <v/>
      </c>
      <c r="J84" s="2">
        <f>Scoring_Model!W84</f>
        <v/>
      </c>
      <c r="K84">
        <f>IF(Scoring_Model!V84&lt;&gt;"Yes","",IF(F84="High Value Bundle","1 anchor + 1 slow mover",IF(F84="Medium Value Bundle","1 anchor + 2 slow movers","1 anchor + 2 slow movers (aggressive clearout)")))</f>
        <v/>
      </c>
      <c r="L84">
        <f>IF(B84="","",IF(Scoring_Model!V84&lt;&gt;"Yes","Not a slow-mover bundle candidate","Bundle to move slow stock with controlled discount"))</f>
        <v/>
      </c>
    </row>
    <row r="85">
      <c r="A85">
        <f>IF(Scoring_Model!V85&lt;&gt;"Yes","","RB-"&amp;TEXT(COUNTIF(Scoring_Model!$V$2:$V85,"Yes"),"000000"))</f>
        <v/>
      </c>
      <c r="B85">
        <f>Scoring_Model!A85</f>
        <v/>
      </c>
      <c r="C85">
        <f>Scoring_Model!B85</f>
        <v/>
      </c>
      <c r="D85">
        <f>Scoring_Model!C85</f>
        <v/>
      </c>
      <c r="E85">
        <f>Scoring_Model!S85</f>
        <v/>
      </c>
      <c r="F85">
        <f>Scoring_Model!T85</f>
        <v/>
      </c>
      <c r="G85" s="2">
        <f>Scoring_Model!R85</f>
        <v/>
      </c>
      <c r="H85">
        <f>Scoring_Model!P85</f>
        <v/>
      </c>
      <c r="I85">
        <f>IF(Scoring_Model!V85&lt;&gt;"Yes","",IFERROR(XLOOKUP(D85&amp;"|anchor",Scoring_Model!$X$2:$X$300,Scoring_Model!$Y$2:$Y$300,INDEX(Scoring_Model!$Y$2:$Y$300,MATCH("Yes",Scoring_Model!$U$2:$U$300,0))),"No anchor found"))</f>
        <v/>
      </c>
      <c r="J85" s="2">
        <f>Scoring_Model!W85</f>
        <v/>
      </c>
      <c r="K85">
        <f>IF(Scoring_Model!V85&lt;&gt;"Yes","",IF(F85="High Value Bundle","1 anchor + 1 slow mover",IF(F85="Medium Value Bundle","1 anchor + 2 slow movers","1 anchor + 2 slow movers (aggressive clearout)")))</f>
        <v/>
      </c>
      <c r="L85">
        <f>IF(B85="","",IF(Scoring_Model!V85&lt;&gt;"Yes","Not a slow-mover bundle candidate","Bundle to move slow stock with controlled discount"))</f>
        <v/>
      </c>
    </row>
    <row r="86">
      <c r="A86">
        <f>IF(Scoring_Model!V86&lt;&gt;"Yes","","RB-"&amp;TEXT(COUNTIF(Scoring_Model!$V$2:$V86,"Yes"),"000000"))</f>
        <v/>
      </c>
      <c r="B86">
        <f>Scoring_Model!A86</f>
        <v/>
      </c>
      <c r="C86">
        <f>Scoring_Model!B86</f>
        <v/>
      </c>
      <c r="D86">
        <f>Scoring_Model!C86</f>
        <v/>
      </c>
      <c r="E86">
        <f>Scoring_Model!S86</f>
        <v/>
      </c>
      <c r="F86">
        <f>Scoring_Model!T86</f>
        <v/>
      </c>
      <c r="G86" s="2">
        <f>Scoring_Model!R86</f>
        <v/>
      </c>
      <c r="H86">
        <f>Scoring_Model!P86</f>
        <v/>
      </c>
      <c r="I86">
        <f>IF(Scoring_Model!V86&lt;&gt;"Yes","",IFERROR(XLOOKUP(D86&amp;"|anchor",Scoring_Model!$X$2:$X$300,Scoring_Model!$Y$2:$Y$300,INDEX(Scoring_Model!$Y$2:$Y$300,MATCH("Yes",Scoring_Model!$U$2:$U$300,0))),"No anchor found"))</f>
        <v/>
      </c>
      <c r="J86" s="2">
        <f>Scoring_Model!W86</f>
        <v/>
      </c>
      <c r="K86">
        <f>IF(Scoring_Model!V86&lt;&gt;"Yes","",IF(F86="High Value Bundle","1 anchor + 1 slow mover",IF(F86="Medium Value Bundle","1 anchor + 2 slow movers","1 anchor + 2 slow movers (aggressive clearout)")))</f>
        <v/>
      </c>
      <c r="L86">
        <f>IF(B86="","",IF(Scoring_Model!V86&lt;&gt;"Yes","Not a slow-mover bundle candidate","Bundle to move slow stock with controlled discount"))</f>
        <v/>
      </c>
    </row>
    <row r="87">
      <c r="A87">
        <f>IF(Scoring_Model!V87&lt;&gt;"Yes","","RB-"&amp;TEXT(COUNTIF(Scoring_Model!$V$2:$V87,"Yes"),"000000"))</f>
        <v/>
      </c>
      <c r="B87">
        <f>Scoring_Model!A87</f>
        <v/>
      </c>
      <c r="C87">
        <f>Scoring_Model!B87</f>
        <v/>
      </c>
      <c r="D87">
        <f>Scoring_Model!C87</f>
        <v/>
      </c>
      <c r="E87">
        <f>Scoring_Model!S87</f>
        <v/>
      </c>
      <c r="F87">
        <f>Scoring_Model!T87</f>
        <v/>
      </c>
      <c r="G87" s="2">
        <f>Scoring_Model!R87</f>
        <v/>
      </c>
      <c r="H87">
        <f>Scoring_Model!P87</f>
        <v/>
      </c>
      <c r="I87">
        <f>IF(Scoring_Model!V87&lt;&gt;"Yes","",IFERROR(XLOOKUP(D87&amp;"|anchor",Scoring_Model!$X$2:$X$300,Scoring_Model!$Y$2:$Y$300,INDEX(Scoring_Model!$Y$2:$Y$300,MATCH("Yes",Scoring_Model!$U$2:$U$300,0))),"No anchor found"))</f>
        <v/>
      </c>
      <c r="J87" s="2">
        <f>Scoring_Model!W87</f>
        <v/>
      </c>
      <c r="K87">
        <f>IF(Scoring_Model!V87&lt;&gt;"Yes","",IF(F87="High Value Bundle","1 anchor + 1 slow mover",IF(F87="Medium Value Bundle","1 anchor + 2 slow movers","1 anchor + 2 slow movers (aggressive clearout)")))</f>
        <v/>
      </c>
      <c r="L87">
        <f>IF(B87="","",IF(Scoring_Model!V87&lt;&gt;"Yes","Not a slow-mover bundle candidate","Bundle to move slow stock with controlled discount"))</f>
        <v/>
      </c>
    </row>
    <row r="88">
      <c r="A88">
        <f>IF(Scoring_Model!V88&lt;&gt;"Yes","","RB-"&amp;TEXT(COUNTIF(Scoring_Model!$V$2:$V88,"Yes"),"000000"))</f>
        <v/>
      </c>
      <c r="B88">
        <f>Scoring_Model!A88</f>
        <v/>
      </c>
      <c r="C88">
        <f>Scoring_Model!B88</f>
        <v/>
      </c>
      <c r="D88">
        <f>Scoring_Model!C88</f>
        <v/>
      </c>
      <c r="E88">
        <f>Scoring_Model!S88</f>
        <v/>
      </c>
      <c r="F88">
        <f>Scoring_Model!T88</f>
        <v/>
      </c>
      <c r="G88" s="2">
        <f>Scoring_Model!R88</f>
        <v/>
      </c>
      <c r="H88">
        <f>Scoring_Model!P88</f>
        <v/>
      </c>
      <c r="I88">
        <f>IF(Scoring_Model!V88&lt;&gt;"Yes","",IFERROR(XLOOKUP(D88&amp;"|anchor",Scoring_Model!$X$2:$X$300,Scoring_Model!$Y$2:$Y$300,INDEX(Scoring_Model!$Y$2:$Y$300,MATCH("Yes",Scoring_Model!$U$2:$U$300,0))),"No anchor found"))</f>
        <v/>
      </c>
      <c r="J88" s="2">
        <f>Scoring_Model!W88</f>
        <v/>
      </c>
      <c r="K88">
        <f>IF(Scoring_Model!V88&lt;&gt;"Yes","",IF(F88="High Value Bundle","1 anchor + 1 slow mover",IF(F88="Medium Value Bundle","1 anchor + 2 slow movers","1 anchor + 2 slow movers (aggressive clearout)")))</f>
        <v/>
      </c>
      <c r="L88">
        <f>IF(B88="","",IF(Scoring_Model!V88&lt;&gt;"Yes","Not a slow-mover bundle candidate","Bundle to move slow stock with controlled discount"))</f>
        <v/>
      </c>
    </row>
    <row r="89">
      <c r="A89">
        <f>IF(Scoring_Model!V89&lt;&gt;"Yes","","RB-"&amp;TEXT(COUNTIF(Scoring_Model!$V$2:$V89,"Yes"),"000000"))</f>
        <v/>
      </c>
      <c r="B89">
        <f>Scoring_Model!A89</f>
        <v/>
      </c>
      <c r="C89">
        <f>Scoring_Model!B89</f>
        <v/>
      </c>
      <c r="D89">
        <f>Scoring_Model!C89</f>
        <v/>
      </c>
      <c r="E89">
        <f>Scoring_Model!S89</f>
        <v/>
      </c>
      <c r="F89">
        <f>Scoring_Model!T89</f>
        <v/>
      </c>
      <c r="G89" s="2">
        <f>Scoring_Model!R89</f>
        <v/>
      </c>
      <c r="H89">
        <f>Scoring_Model!P89</f>
        <v/>
      </c>
      <c r="I89">
        <f>IF(Scoring_Model!V89&lt;&gt;"Yes","",IFERROR(XLOOKUP(D89&amp;"|anchor",Scoring_Model!$X$2:$X$300,Scoring_Model!$Y$2:$Y$300,INDEX(Scoring_Model!$Y$2:$Y$300,MATCH("Yes",Scoring_Model!$U$2:$U$300,0))),"No anchor found"))</f>
        <v/>
      </c>
      <c r="J89" s="2">
        <f>Scoring_Model!W89</f>
        <v/>
      </c>
      <c r="K89">
        <f>IF(Scoring_Model!V89&lt;&gt;"Yes","",IF(F89="High Value Bundle","1 anchor + 1 slow mover",IF(F89="Medium Value Bundle","1 anchor + 2 slow movers","1 anchor + 2 slow movers (aggressive clearout)")))</f>
        <v/>
      </c>
      <c r="L89">
        <f>IF(B89="","",IF(Scoring_Model!V89&lt;&gt;"Yes","Not a slow-mover bundle candidate","Bundle to move slow stock with controlled discount"))</f>
        <v/>
      </c>
    </row>
    <row r="90">
      <c r="A90">
        <f>IF(Scoring_Model!V90&lt;&gt;"Yes","","RB-"&amp;TEXT(COUNTIF(Scoring_Model!$V$2:$V90,"Yes"),"000000"))</f>
        <v/>
      </c>
      <c r="B90">
        <f>Scoring_Model!A90</f>
        <v/>
      </c>
      <c r="C90">
        <f>Scoring_Model!B90</f>
        <v/>
      </c>
      <c r="D90">
        <f>Scoring_Model!C90</f>
        <v/>
      </c>
      <c r="E90">
        <f>Scoring_Model!S90</f>
        <v/>
      </c>
      <c r="F90">
        <f>Scoring_Model!T90</f>
        <v/>
      </c>
      <c r="G90" s="2">
        <f>Scoring_Model!R90</f>
        <v/>
      </c>
      <c r="H90">
        <f>Scoring_Model!P90</f>
        <v/>
      </c>
      <c r="I90">
        <f>IF(Scoring_Model!V90&lt;&gt;"Yes","",IFERROR(XLOOKUP(D90&amp;"|anchor",Scoring_Model!$X$2:$X$300,Scoring_Model!$Y$2:$Y$300,INDEX(Scoring_Model!$Y$2:$Y$300,MATCH("Yes",Scoring_Model!$U$2:$U$300,0))),"No anchor found"))</f>
        <v/>
      </c>
      <c r="J90" s="2">
        <f>Scoring_Model!W90</f>
        <v/>
      </c>
      <c r="K90">
        <f>IF(Scoring_Model!V90&lt;&gt;"Yes","",IF(F90="High Value Bundle","1 anchor + 1 slow mover",IF(F90="Medium Value Bundle","1 anchor + 2 slow movers","1 anchor + 2 slow movers (aggressive clearout)")))</f>
        <v/>
      </c>
      <c r="L90">
        <f>IF(B90="","",IF(Scoring_Model!V90&lt;&gt;"Yes","Not a slow-mover bundle candidate","Bundle to move slow stock with controlled discount"))</f>
        <v/>
      </c>
    </row>
    <row r="91">
      <c r="A91">
        <f>IF(Scoring_Model!V91&lt;&gt;"Yes","","RB-"&amp;TEXT(COUNTIF(Scoring_Model!$V$2:$V91,"Yes"),"000000"))</f>
        <v/>
      </c>
      <c r="B91">
        <f>Scoring_Model!A91</f>
        <v/>
      </c>
      <c r="C91">
        <f>Scoring_Model!B91</f>
        <v/>
      </c>
      <c r="D91">
        <f>Scoring_Model!C91</f>
        <v/>
      </c>
      <c r="E91">
        <f>Scoring_Model!S91</f>
        <v/>
      </c>
      <c r="F91">
        <f>Scoring_Model!T91</f>
        <v/>
      </c>
      <c r="G91" s="2">
        <f>Scoring_Model!R91</f>
        <v/>
      </c>
      <c r="H91">
        <f>Scoring_Model!P91</f>
        <v/>
      </c>
      <c r="I91">
        <f>IF(Scoring_Model!V91&lt;&gt;"Yes","",IFERROR(XLOOKUP(D91&amp;"|anchor",Scoring_Model!$X$2:$X$300,Scoring_Model!$Y$2:$Y$300,INDEX(Scoring_Model!$Y$2:$Y$300,MATCH("Yes",Scoring_Model!$U$2:$U$300,0))),"No anchor found"))</f>
        <v/>
      </c>
      <c r="J91" s="2">
        <f>Scoring_Model!W91</f>
        <v/>
      </c>
      <c r="K91">
        <f>IF(Scoring_Model!V91&lt;&gt;"Yes","",IF(F91="High Value Bundle","1 anchor + 1 slow mover",IF(F91="Medium Value Bundle","1 anchor + 2 slow movers","1 anchor + 2 slow movers (aggressive clearout)")))</f>
        <v/>
      </c>
      <c r="L91">
        <f>IF(B91="","",IF(Scoring_Model!V91&lt;&gt;"Yes","Not a slow-mover bundle candidate","Bundle to move slow stock with controlled discount"))</f>
        <v/>
      </c>
    </row>
    <row r="92">
      <c r="A92">
        <f>IF(Scoring_Model!V92&lt;&gt;"Yes","","RB-"&amp;TEXT(COUNTIF(Scoring_Model!$V$2:$V92,"Yes"),"000000"))</f>
        <v/>
      </c>
      <c r="B92">
        <f>Scoring_Model!A92</f>
        <v/>
      </c>
      <c r="C92">
        <f>Scoring_Model!B92</f>
        <v/>
      </c>
      <c r="D92">
        <f>Scoring_Model!C92</f>
        <v/>
      </c>
      <c r="E92">
        <f>Scoring_Model!S92</f>
        <v/>
      </c>
      <c r="F92">
        <f>Scoring_Model!T92</f>
        <v/>
      </c>
      <c r="G92" s="2">
        <f>Scoring_Model!R92</f>
        <v/>
      </c>
      <c r="H92">
        <f>Scoring_Model!P92</f>
        <v/>
      </c>
      <c r="I92">
        <f>IF(Scoring_Model!V92&lt;&gt;"Yes","",IFERROR(XLOOKUP(D92&amp;"|anchor",Scoring_Model!$X$2:$X$300,Scoring_Model!$Y$2:$Y$300,INDEX(Scoring_Model!$Y$2:$Y$300,MATCH("Yes",Scoring_Model!$U$2:$U$300,0))),"No anchor found"))</f>
        <v/>
      </c>
      <c r="J92" s="2">
        <f>Scoring_Model!W92</f>
        <v/>
      </c>
      <c r="K92">
        <f>IF(Scoring_Model!V92&lt;&gt;"Yes","",IF(F92="High Value Bundle","1 anchor + 1 slow mover",IF(F92="Medium Value Bundle","1 anchor + 2 slow movers","1 anchor + 2 slow movers (aggressive clearout)")))</f>
        <v/>
      </c>
      <c r="L92">
        <f>IF(B92="","",IF(Scoring_Model!V92&lt;&gt;"Yes","Not a slow-mover bundle candidate","Bundle to move slow stock with controlled discount"))</f>
        <v/>
      </c>
    </row>
    <row r="93">
      <c r="A93">
        <f>IF(Scoring_Model!V93&lt;&gt;"Yes","","RB-"&amp;TEXT(COUNTIF(Scoring_Model!$V$2:$V93,"Yes"),"000000"))</f>
        <v/>
      </c>
      <c r="B93">
        <f>Scoring_Model!A93</f>
        <v/>
      </c>
      <c r="C93">
        <f>Scoring_Model!B93</f>
        <v/>
      </c>
      <c r="D93">
        <f>Scoring_Model!C93</f>
        <v/>
      </c>
      <c r="E93">
        <f>Scoring_Model!S93</f>
        <v/>
      </c>
      <c r="F93">
        <f>Scoring_Model!T93</f>
        <v/>
      </c>
      <c r="G93" s="2">
        <f>Scoring_Model!R93</f>
        <v/>
      </c>
      <c r="H93">
        <f>Scoring_Model!P93</f>
        <v/>
      </c>
      <c r="I93">
        <f>IF(Scoring_Model!V93&lt;&gt;"Yes","",IFERROR(XLOOKUP(D93&amp;"|anchor",Scoring_Model!$X$2:$X$300,Scoring_Model!$Y$2:$Y$300,INDEX(Scoring_Model!$Y$2:$Y$300,MATCH("Yes",Scoring_Model!$U$2:$U$300,0))),"No anchor found"))</f>
        <v/>
      </c>
      <c r="J93" s="2">
        <f>Scoring_Model!W93</f>
        <v/>
      </c>
      <c r="K93">
        <f>IF(Scoring_Model!V93&lt;&gt;"Yes","",IF(F93="High Value Bundle","1 anchor + 1 slow mover",IF(F93="Medium Value Bundle","1 anchor + 2 slow movers","1 anchor + 2 slow movers (aggressive clearout)")))</f>
        <v/>
      </c>
      <c r="L93">
        <f>IF(B93="","",IF(Scoring_Model!V93&lt;&gt;"Yes","Not a slow-mover bundle candidate","Bundle to move slow stock with controlled discount"))</f>
        <v/>
      </c>
    </row>
    <row r="94">
      <c r="A94">
        <f>IF(Scoring_Model!V94&lt;&gt;"Yes","","RB-"&amp;TEXT(COUNTIF(Scoring_Model!$V$2:$V94,"Yes"),"000000"))</f>
        <v/>
      </c>
      <c r="B94">
        <f>Scoring_Model!A94</f>
        <v/>
      </c>
      <c r="C94">
        <f>Scoring_Model!B94</f>
        <v/>
      </c>
      <c r="D94">
        <f>Scoring_Model!C94</f>
        <v/>
      </c>
      <c r="E94">
        <f>Scoring_Model!S94</f>
        <v/>
      </c>
      <c r="F94">
        <f>Scoring_Model!T94</f>
        <v/>
      </c>
      <c r="G94" s="2">
        <f>Scoring_Model!R94</f>
        <v/>
      </c>
      <c r="H94">
        <f>Scoring_Model!P94</f>
        <v/>
      </c>
      <c r="I94">
        <f>IF(Scoring_Model!V94&lt;&gt;"Yes","",IFERROR(XLOOKUP(D94&amp;"|anchor",Scoring_Model!$X$2:$X$300,Scoring_Model!$Y$2:$Y$300,INDEX(Scoring_Model!$Y$2:$Y$300,MATCH("Yes",Scoring_Model!$U$2:$U$300,0))),"No anchor found"))</f>
        <v/>
      </c>
      <c r="J94" s="2">
        <f>Scoring_Model!W94</f>
        <v/>
      </c>
      <c r="K94">
        <f>IF(Scoring_Model!V94&lt;&gt;"Yes","",IF(F94="High Value Bundle","1 anchor + 1 slow mover",IF(F94="Medium Value Bundle","1 anchor + 2 slow movers","1 anchor + 2 slow movers (aggressive clearout)")))</f>
        <v/>
      </c>
      <c r="L94">
        <f>IF(B94="","",IF(Scoring_Model!V94&lt;&gt;"Yes","Not a slow-mover bundle candidate","Bundle to move slow stock with controlled discount"))</f>
        <v/>
      </c>
    </row>
    <row r="95">
      <c r="A95">
        <f>IF(Scoring_Model!V95&lt;&gt;"Yes","","RB-"&amp;TEXT(COUNTIF(Scoring_Model!$V$2:$V95,"Yes"),"000000"))</f>
        <v/>
      </c>
      <c r="B95">
        <f>Scoring_Model!A95</f>
        <v/>
      </c>
      <c r="C95">
        <f>Scoring_Model!B95</f>
        <v/>
      </c>
      <c r="D95">
        <f>Scoring_Model!C95</f>
        <v/>
      </c>
      <c r="E95">
        <f>Scoring_Model!S95</f>
        <v/>
      </c>
      <c r="F95">
        <f>Scoring_Model!T95</f>
        <v/>
      </c>
      <c r="G95" s="2">
        <f>Scoring_Model!R95</f>
        <v/>
      </c>
      <c r="H95">
        <f>Scoring_Model!P95</f>
        <v/>
      </c>
      <c r="I95">
        <f>IF(Scoring_Model!V95&lt;&gt;"Yes","",IFERROR(XLOOKUP(D95&amp;"|anchor",Scoring_Model!$X$2:$X$300,Scoring_Model!$Y$2:$Y$300,INDEX(Scoring_Model!$Y$2:$Y$300,MATCH("Yes",Scoring_Model!$U$2:$U$300,0))),"No anchor found"))</f>
        <v/>
      </c>
      <c r="J95" s="2">
        <f>Scoring_Model!W95</f>
        <v/>
      </c>
      <c r="K95">
        <f>IF(Scoring_Model!V95&lt;&gt;"Yes","",IF(F95="High Value Bundle","1 anchor + 1 slow mover",IF(F95="Medium Value Bundle","1 anchor + 2 slow movers","1 anchor + 2 slow movers (aggressive clearout)")))</f>
        <v/>
      </c>
      <c r="L95">
        <f>IF(B95="","",IF(Scoring_Model!V95&lt;&gt;"Yes","Not a slow-mover bundle candidate","Bundle to move slow stock with controlled discount"))</f>
        <v/>
      </c>
    </row>
    <row r="96">
      <c r="A96">
        <f>IF(Scoring_Model!V96&lt;&gt;"Yes","","RB-"&amp;TEXT(COUNTIF(Scoring_Model!$V$2:$V96,"Yes"),"000000"))</f>
        <v/>
      </c>
      <c r="B96">
        <f>Scoring_Model!A96</f>
        <v/>
      </c>
      <c r="C96">
        <f>Scoring_Model!B96</f>
        <v/>
      </c>
      <c r="D96">
        <f>Scoring_Model!C96</f>
        <v/>
      </c>
      <c r="E96">
        <f>Scoring_Model!S96</f>
        <v/>
      </c>
      <c r="F96">
        <f>Scoring_Model!T96</f>
        <v/>
      </c>
      <c r="G96" s="2">
        <f>Scoring_Model!R96</f>
        <v/>
      </c>
      <c r="H96">
        <f>Scoring_Model!P96</f>
        <v/>
      </c>
      <c r="I96">
        <f>IF(Scoring_Model!V96&lt;&gt;"Yes","",IFERROR(XLOOKUP(D96&amp;"|anchor",Scoring_Model!$X$2:$X$300,Scoring_Model!$Y$2:$Y$300,INDEX(Scoring_Model!$Y$2:$Y$300,MATCH("Yes",Scoring_Model!$U$2:$U$300,0))),"No anchor found"))</f>
        <v/>
      </c>
      <c r="J96" s="2">
        <f>Scoring_Model!W96</f>
        <v/>
      </c>
      <c r="K96">
        <f>IF(Scoring_Model!V96&lt;&gt;"Yes","",IF(F96="High Value Bundle","1 anchor + 1 slow mover",IF(F96="Medium Value Bundle","1 anchor + 2 slow movers","1 anchor + 2 slow movers (aggressive clearout)")))</f>
        <v/>
      </c>
      <c r="L96">
        <f>IF(B96="","",IF(Scoring_Model!V96&lt;&gt;"Yes","Not a slow-mover bundle candidate","Bundle to move slow stock with controlled discount"))</f>
        <v/>
      </c>
    </row>
    <row r="97">
      <c r="A97">
        <f>IF(Scoring_Model!V97&lt;&gt;"Yes","","RB-"&amp;TEXT(COUNTIF(Scoring_Model!$V$2:$V97,"Yes"),"000000"))</f>
        <v/>
      </c>
      <c r="B97">
        <f>Scoring_Model!A97</f>
        <v/>
      </c>
      <c r="C97">
        <f>Scoring_Model!B97</f>
        <v/>
      </c>
      <c r="D97">
        <f>Scoring_Model!C97</f>
        <v/>
      </c>
      <c r="E97">
        <f>Scoring_Model!S97</f>
        <v/>
      </c>
      <c r="F97">
        <f>Scoring_Model!T97</f>
        <v/>
      </c>
      <c r="G97" s="2">
        <f>Scoring_Model!R97</f>
        <v/>
      </c>
      <c r="H97">
        <f>Scoring_Model!P97</f>
        <v/>
      </c>
      <c r="I97">
        <f>IF(Scoring_Model!V97&lt;&gt;"Yes","",IFERROR(XLOOKUP(D97&amp;"|anchor",Scoring_Model!$X$2:$X$300,Scoring_Model!$Y$2:$Y$300,INDEX(Scoring_Model!$Y$2:$Y$300,MATCH("Yes",Scoring_Model!$U$2:$U$300,0))),"No anchor found"))</f>
        <v/>
      </c>
      <c r="J97" s="2">
        <f>Scoring_Model!W97</f>
        <v/>
      </c>
      <c r="K97">
        <f>IF(Scoring_Model!V97&lt;&gt;"Yes","",IF(F97="High Value Bundle","1 anchor + 1 slow mover",IF(F97="Medium Value Bundle","1 anchor + 2 slow movers","1 anchor + 2 slow movers (aggressive clearout)")))</f>
        <v/>
      </c>
      <c r="L97">
        <f>IF(B97="","",IF(Scoring_Model!V97&lt;&gt;"Yes","Not a slow-mover bundle candidate","Bundle to move slow stock with controlled discount"))</f>
        <v/>
      </c>
    </row>
    <row r="98">
      <c r="A98">
        <f>IF(Scoring_Model!V98&lt;&gt;"Yes","","RB-"&amp;TEXT(COUNTIF(Scoring_Model!$V$2:$V98,"Yes"),"000000"))</f>
        <v/>
      </c>
      <c r="B98">
        <f>Scoring_Model!A98</f>
        <v/>
      </c>
      <c r="C98">
        <f>Scoring_Model!B98</f>
        <v/>
      </c>
      <c r="D98">
        <f>Scoring_Model!C98</f>
        <v/>
      </c>
      <c r="E98">
        <f>Scoring_Model!S98</f>
        <v/>
      </c>
      <c r="F98">
        <f>Scoring_Model!T98</f>
        <v/>
      </c>
      <c r="G98" s="2">
        <f>Scoring_Model!R98</f>
        <v/>
      </c>
      <c r="H98">
        <f>Scoring_Model!P98</f>
        <v/>
      </c>
      <c r="I98">
        <f>IF(Scoring_Model!V98&lt;&gt;"Yes","",IFERROR(XLOOKUP(D98&amp;"|anchor",Scoring_Model!$X$2:$X$300,Scoring_Model!$Y$2:$Y$300,INDEX(Scoring_Model!$Y$2:$Y$300,MATCH("Yes",Scoring_Model!$U$2:$U$300,0))),"No anchor found"))</f>
        <v/>
      </c>
      <c r="J98" s="2">
        <f>Scoring_Model!W98</f>
        <v/>
      </c>
      <c r="K98">
        <f>IF(Scoring_Model!V98&lt;&gt;"Yes","",IF(F98="High Value Bundle","1 anchor + 1 slow mover",IF(F98="Medium Value Bundle","1 anchor + 2 slow movers","1 anchor + 2 slow movers (aggressive clearout)")))</f>
        <v/>
      </c>
      <c r="L98">
        <f>IF(B98="","",IF(Scoring_Model!V98&lt;&gt;"Yes","Not a slow-mover bundle candidate","Bundle to move slow stock with controlled discount"))</f>
        <v/>
      </c>
    </row>
    <row r="99">
      <c r="A99">
        <f>IF(Scoring_Model!V99&lt;&gt;"Yes","","RB-"&amp;TEXT(COUNTIF(Scoring_Model!$V$2:$V99,"Yes"),"000000"))</f>
        <v/>
      </c>
      <c r="B99">
        <f>Scoring_Model!A99</f>
        <v/>
      </c>
      <c r="C99">
        <f>Scoring_Model!B99</f>
        <v/>
      </c>
      <c r="D99">
        <f>Scoring_Model!C99</f>
        <v/>
      </c>
      <c r="E99">
        <f>Scoring_Model!S99</f>
        <v/>
      </c>
      <c r="F99">
        <f>Scoring_Model!T99</f>
        <v/>
      </c>
      <c r="G99" s="2">
        <f>Scoring_Model!R99</f>
        <v/>
      </c>
      <c r="H99">
        <f>Scoring_Model!P99</f>
        <v/>
      </c>
      <c r="I99">
        <f>IF(Scoring_Model!V99&lt;&gt;"Yes","",IFERROR(XLOOKUP(D99&amp;"|anchor",Scoring_Model!$X$2:$X$300,Scoring_Model!$Y$2:$Y$300,INDEX(Scoring_Model!$Y$2:$Y$300,MATCH("Yes",Scoring_Model!$U$2:$U$300,0))),"No anchor found"))</f>
        <v/>
      </c>
      <c r="J99" s="2">
        <f>Scoring_Model!W99</f>
        <v/>
      </c>
      <c r="K99">
        <f>IF(Scoring_Model!V99&lt;&gt;"Yes","",IF(F99="High Value Bundle","1 anchor + 1 slow mover",IF(F99="Medium Value Bundle","1 anchor + 2 slow movers","1 anchor + 2 slow movers (aggressive clearout)")))</f>
        <v/>
      </c>
      <c r="L99">
        <f>IF(B99="","",IF(Scoring_Model!V99&lt;&gt;"Yes","Not a slow-mover bundle candidate","Bundle to move slow stock with controlled discount"))</f>
        <v/>
      </c>
    </row>
    <row r="100">
      <c r="A100">
        <f>IF(Scoring_Model!V100&lt;&gt;"Yes","","RB-"&amp;TEXT(COUNTIF(Scoring_Model!$V$2:$V100,"Yes"),"000000"))</f>
        <v/>
      </c>
      <c r="B100">
        <f>Scoring_Model!A100</f>
        <v/>
      </c>
      <c r="C100">
        <f>Scoring_Model!B100</f>
        <v/>
      </c>
      <c r="D100">
        <f>Scoring_Model!C100</f>
        <v/>
      </c>
      <c r="E100">
        <f>Scoring_Model!S100</f>
        <v/>
      </c>
      <c r="F100">
        <f>Scoring_Model!T100</f>
        <v/>
      </c>
      <c r="G100" s="2">
        <f>Scoring_Model!R100</f>
        <v/>
      </c>
      <c r="H100">
        <f>Scoring_Model!P100</f>
        <v/>
      </c>
      <c r="I100">
        <f>IF(Scoring_Model!V100&lt;&gt;"Yes","",IFERROR(XLOOKUP(D100&amp;"|anchor",Scoring_Model!$X$2:$X$300,Scoring_Model!$Y$2:$Y$300,INDEX(Scoring_Model!$Y$2:$Y$300,MATCH("Yes",Scoring_Model!$U$2:$U$300,0))),"No anchor found"))</f>
        <v/>
      </c>
      <c r="J100" s="2">
        <f>Scoring_Model!W100</f>
        <v/>
      </c>
      <c r="K100">
        <f>IF(Scoring_Model!V100&lt;&gt;"Yes","",IF(F100="High Value Bundle","1 anchor + 1 slow mover",IF(F100="Medium Value Bundle","1 anchor + 2 slow movers","1 anchor + 2 slow movers (aggressive clearout)")))</f>
        <v/>
      </c>
      <c r="L100">
        <f>IF(B100="","",IF(Scoring_Model!V100&lt;&gt;"Yes","Not a slow-mover bundle candidate","Bundle to move slow stock with controlled discount"))</f>
        <v/>
      </c>
    </row>
    <row r="101">
      <c r="A101">
        <f>IF(Scoring_Model!V101&lt;&gt;"Yes","","RB-"&amp;TEXT(COUNTIF(Scoring_Model!$V$2:$V101,"Yes"),"000000"))</f>
        <v/>
      </c>
      <c r="B101">
        <f>Scoring_Model!A101</f>
        <v/>
      </c>
      <c r="C101">
        <f>Scoring_Model!B101</f>
        <v/>
      </c>
      <c r="D101">
        <f>Scoring_Model!C101</f>
        <v/>
      </c>
      <c r="E101">
        <f>Scoring_Model!S101</f>
        <v/>
      </c>
      <c r="F101">
        <f>Scoring_Model!T101</f>
        <v/>
      </c>
      <c r="G101" s="2">
        <f>Scoring_Model!R101</f>
        <v/>
      </c>
      <c r="H101">
        <f>Scoring_Model!P101</f>
        <v/>
      </c>
      <c r="I101">
        <f>IF(Scoring_Model!V101&lt;&gt;"Yes","",IFERROR(XLOOKUP(D101&amp;"|anchor",Scoring_Model!$X$2:$X$300,Scoring_Model!$Y$2:$Y$300,INDEX(Scoring_Model!$Y$2:$Y$300,MATCH("Yes",Scoring_Model!$U$2:$U$300,0))),"No anchor found"))</f>
        <v/>
      </c>
      <c r="J101" s="2">
        <f>Scoring_Model!W101</f>
        <v/>
      </c>
      <c r="K101">
        <f>IF(Scoring_Model!V101&lt;&gt;"Yes","",IF(F101="High Value Bundle","1 anchor + 1 slow mover",IF(F101="Medium Value Bundle","1 anchor + 2 slow movers","1 anchor + 2 slow movers (aggressive clearout)")))</f>
        <v/>
      </c>
      <c r="L101">
        <f>IF(B101="","",IF(Scoring_Model!V101&lt;&gt;"Yes","Not a slow-mover bundle candidate","Bundle to move slow stock with controlled discount"))</f>
        <v/>
      </c>
    </row>
    <row r="102">
      <c r="A102">
        <f>IF(Scoring_Model!V102&lt;&gt;"Yes","","RB-"&amp;TEXT(COUNTIF(Scoring_Model!$V$2:$V102,"Yes"),"000000"))</f>
        <v/>
      </c>
      <c r="B102">
        <f>Scoring_Model!A102</f>
        <v/>
      </c>
      <c r="C102">
        <f>Scoring_Model!B102</f>
        <v/>
      </c>
      <c r="D102">
        <f>Scoring_Model!C102</f>
        <v/>
      </c>
      <c r="E102">
        <f>Scoring_Model!S102</f>
        <v/>
      </c>
      <c r="F102">
        <f>Scoring_Model!T102</f>
        <v/>
      </c>
      <c r="G102" s="2">
        <f>Scoring_Model!R102</f>
        <v/>
      </c>
      <c r="H102">
        <f>Scoring_Model!P102</f>
        <v/>
      </c>
      <c r="I102">
        <f>IF(Scoring_Model!V102&lt;&gt;"Yes","",IFERROR(XLOOKUP(D102&amp;"|anchor",Scoring_Model!$X$2:$X$300,Scoring_Model!$Y$2:$Y$300,INDEX(Scoring_Model!$Y$2:$Y$300,MATCH("Yes",Scoring_Model!$U$2:$U$300,0))),"No anchor found"))</f>
        <v/>
      </c>
      <c r="J102" s="2">
        <f>Scoring_Model!W102</f>
        <v/>
      </c>
      <c r="K102">
        <f>IF(Scoring_Model!V102&lt;&gt;"Yes","",IF(F102="High Value Bundle","1 anchor + 1 slow mover",IF(F102="Medium Value Bundle","1 anchor + 2 slow movers","1 anchor + 2 slow movers (aggressive clearout)")))</f>
        <v/>
      </c>
      <c r="L102">
        <f>IF(B102="","",IF(Scoring_Model!V102&lt;&gt;"Yes","Not a slow-mover bundle candidate","Bundle to move slow stock with controlled discount"))</f>
        <v/>
      </c>
    </row>
    <row r="103">
      <c r="A103">
        <f>IF(Scoring_Model!V103&lt;&gt;"Yes","","RB-"&amp;TEXT(COUNTIF(Scoring_Model!$V$2:$V103,"Yes"),"000000"))</f>
        <v/>
      </c>
      <c r="B103">
        <f>Scoring_Model!A103</f>
        <v/>
      </c>
      <c r="C103">
        <f>Scoring_Model!B103</f>
        <v/>
      </c>
      <c r="D103">
        <f>Scoring_Model!C103</f>
        <v/>
      </c>
      <c r="E103">
        <f>Scoring_Model!S103</f>
        <v/>
      </c>
      <c r="F103">
        <f>Scoring_Model!T103</f>
        <v/>
      </c>
      <c r="G103" s="2">
        <f>Scoring_Model!R103</f>
        <v/>
      </c>
      <c r="H103">
        <f>Scoring_Model!P103</f>
        <v/>
      </c>
      <c r="I103">
        <f>IF(Scoring_Model!V103&lt;&gt;"Yes","",IFERROR(XLOOKUP(D103&amp;"|anchor",Scoring_Model!$X$2:$X$300,Scoring_Model!$Y$2:$Y$300,INDEX(Scoring_Model!$Y$2:$Y$300,MATCH("Yes",Scoring_Model!$U$2:$U$300,0))),"No anchor found"))</f>
        <v/>
      </c>
      <c r="J103" s="2">
        <f>Scoring_Model!W103</f>
        <v/>
      </c>
      <c r="K103">
        <f>IF(Scoring_Model!V103&lt;&gt;"Yes","",IF(F103="High Value Bundle","1 anchor + 1 slow mover",IF(F103="Medium Value Bundle","1 anchor + 2 slow movers","1 anchor + 2 slow movers (aggressive clearout)")))</f>
        <v/>
      </c>
      <c r="L103">
        <f>IF(B103="","",IF(Scoring_Model!V103&lt;&gt;"Yes","Not a slow-mover bundle candidate","Bundle to move slow stock with controlled discount"))</f>
        <v/>
      </c>
    </row>
    <row r="104">
      <c r="A104">
        <f>IF(Scoring_Model!V104&lt;&gt;"Yes","","RB-"&amp;TEXT(COUNTIF(Scoring_Model!$V$2:$V104,"Yes"),"000000"))</f>
        <v/>
      </c>
      <c r="B104">
        <f>Scoring_Model!A104</f>
        <v/>
      </c>
      <c r="C104">
        <f>Scoring_Model!B104</f>
        <v/>
      </c>
      <c r="D104">
        <f>Scoring_Model!C104</f>
        <v/>
      </c>
      <c r="E104">
        <f>Scoring_Model!S104</f>
        <v/>
      </c>
      <c r="F104">
        <f>Scoring_Model!T104</f>
        <v/>
      </c>
      <c r="G104" s="2">
        <f>Scoring_Model!R104</f>
        <v/>
      </c>
      <c r="H104">
        <f>Scoring_Model!P104</f>
        <v/>
      </c>
      <c r="I104">
        <f>IF(Scoring_Model!V104&lt;&gt;"Yes","",IFERROR(XLOOKUP(D104&amp;"|anchor",Scoring_Model!$X$2:$X$300,Scoring_Model!$Y$2:$Y$300,INDEX(Scoring_Model!$Y$2:$Y$300,MATCH("Yes",Scoring_Model!$U$2:$U$300,0))),"No anchor found"))</f>
        <v/>
      </c>
      <c r="J104" s="2">
        <f>Scoring_Model!W104</f>
        <v/>
      </c>
      <c r="K104">
        <f>IF(Scoring_Model!V104&lt;&gt;"Yes","",IF(F104="High Value Bundle","1 anchor + 1 slow mover",IF(F104="Medium Value Bundle","1 anchor + 2 slow movers","1 anchor + 2 slow movers (aggressive clearout)")))</f>
        <v/>
      </c>
      <c r="L104">
        <f>IF(B104="","",IF(Scoring_Model!V104&lt;&gt;"Yes","Not a slow-mover bundle candidate","Bundle to move slow stock with controlled discount"))</f>
        <v/>
      </c>
    </row>
    <row r="105">
      <c r="A105">
        <f>IF(Scoring_Model!V105&lt;&gt;"Yes","","RB-"&amp;TEXT(COUNTIF(Scoring_Model!$V$2:$V105,"Yes"),"000000"))</f>
        <v/>
      </c>
      <c r="B105">
        <f>Scoring_Model!A105</f>
        <v/>
      </c>
      <c r="C105">
        <f>Scoring_Model!B105</f>
        <v/>
      </c>
      <c r="D105">
        <f>Scoring_Model!C105</f>
        <v/>
      </c>
      <c r="E105">
        <f>Scoring_Model!S105</f>
        <v/>
      </c>
      <c r="F105">
        <f>Scoring_Model!T105</f>
        <v/>
      </c>
      <c r="G105" s="2">
        <f>Scoring_Model!R105</f>
        <v/>
      </c>
      <c r="H105">
        <f>Scoring_Model!P105</f>
        <v/>
      </c>
      <c r="I105">
        <f>IF(Scoring_Model!V105&lt;&gt;"Yes","",IFERROR(XLOOKUP(D105&amp;"|anchor",Scoring_Model!$X$2:$X$300,Scoring_Model!$Y$2:$Y$300,INDEX(Scoring_Model!$Y$2:$Y$300,MATCH("Yes",Scoring_Model!$U$2:$U$300,0))),"No anchor found"))</f>
        <v/>
      </c>
      <c r="J105" s="2">
        <f>Scoring_Model!W105</f>
        <v/>
      </c>
      <c r="K105">
        <f>IF(Scoring_Model!V105&lt;&gt;"Yes","",IF(F105="High Value Bundle","1 anchor + 1 slow mover",IF(F105="Medium Value Bundle","1 anchor + 2 slow movers","1 anchor + 2 slow movers (aggressive clearout)")))</f>
        <v/>
      </c>
      <c r="L105">
        <f>IF(B105="","",IF(Scoring_Model!V105&lt;&gt;"Yes","Not a slow-mover bundle candidate","Bundle to move slow stock with controlled discount"))</f>
        <v/>
      </c>
    </row>
    <row r="106">
      <c r="A106">
        <f>IF(Scoring_Model!V106&lt;&gt;"Yes","","RB-"&amp;TEXT(COUNTIF(Scoring_Model!$V$2:$V106,"Yes"),"000000"))</f>
        <v/>
      </c>
      <c r="B106">
        <f>Scoring_Model!A106</f>
        <v/>
      </c>
      <c r="C106">
        <f>Scoring_Model!B106</f>
        <v/>
      </c>
      <c r="D106">
        <f>Scoring_Model!C106</f>
        <v/>
      </c>
      <c r="E106">
        <f>Scoring_Model!S106</f>
        <v/>
      </c>
      <c r="F106">
        <f>Scoring_Model!T106</f>
        <v/>
      </c>
      <c r="G106" s="2">
        <f>Scoring_Model!R106</f>
        <v/>
      </c>
      <c r="H106">
        <f>Scoring_Model!P106</f>
        <v/>
      </c>
      <c r="I106">
        <f>IF(Scoring_Model!V106&lt;&gt;"Yes","",IFERROR(XLOOKUP(D106&amp;"|anchor",Scoring_Model!$X$2:$X$300,Scoring_Model!$Y$2:$Y$300,INDEX(Scoring_Model!$Y$2:$Y$300,MATCH("Yes",Scoring_Model!$U$2:$U$300,0))),"No anchor found"))</f>
        <v/>
      </c>
      <c r="J106" s="2">
        <f>Scoring_Model!W106</f>
        <v/>
      </c>
      <c r="K106">
        <f>IF(Scoring_Model!V106&lt;&gt;"Yes","",IF(F106="High Value Bundle","1 anchor + 1 slow mover",IF(F106="Medium Value Bundle","1 anchor + 2 slow movers","1 anchor + 2 slow movers (aggressive clearout)")))</f>
        <v/>
      </c>
      <c r="L106">
        <f>IF(B106="","",IF(Scoring_Model!V106&lt;&gt;"Yes","Not a slow-mover bundle candidate","Bundle to move slow stock with controlled discount"))</f>
        <v/>
      </c>
    </row>
    <row r="107">
      <c r="A107">
        <f>IF(Scoring_Model!V107&lt;&gt;"Yes","","RB-"&amp;TEXT(COUNTIF(Scoring_Model!$V$2:$V107,"Yes"),"000000"))</f>
        <v/>
      </c>
      <c r="B107">
        <f>Scoring_Model!A107</f>
        <v/>
      </c>
      <c r="C107">
        <f>Scoring_Model!B107</f>
        <v/>
      </c>
      <c r="D107">
        <f>Scoring_Model!C107</f>
        <v/>
      </c>
      <c r="E107">
        <f>Scoring_Model!S107</f>
        <v/>
      </c>
      <c r="F107">
        <f>Scoring_Model!T107</f>
        <v/>
      </c>
      <c r="G107" s="2">
        <f>Scoring_Model!R107</f>
        <v/>
      </c>
      <c r="H107">
        <f>Scoring_Model!P107</f>
        <v/>
      </c>
      <c r="I107">
        <f>IF(Scoring_Model!V107&lt;&gt;"Yes","",IFERROR(XLOOKUP(D107&amp;"|anchor",Scoring_Model!$X$2:$X$300,Scoring_Model!$Y$2:$Y$300,INDEX(Scoring_Model!$Y$2:$Y$300,MATCH("Yes",Scoring_Model!$U$2:$U$300,0))),"No anchor found"))</f>
        <v/>
      </c>
      <c r="J107" s="2">
        <f>Scoring_Model!W107</f>
        <v/>
      </c>
      <c r="K107">
        <f>IF(Scoring_Model!V107&lt;&gt;"Yes","",IF(F107="High Value Bundle","1 anchor + 1 slow mover",IF(F107="Medium Value Bundle","1 anchor + 2 slow movers","1 anchor + 2 slow movers (aggressive clearout)")))</f>
        <v/>
      </c>
      <c r="L107">
        <f>IF(B107="","",IF(Scoring_Model!V107&lt;&gt;"Yes","Not a slow-mover bundle candidate","Bundle to move slow stock with controlled discount"))</f>
        <v/>
      </c>
    </row>
    <row r="108">
      <c r="A108">
        <f>IF(Scoring_Model!V108&lt;&gt;"Yes","","RB-"&amp;TEXT(COUNTIF(Scoring_Model!$V$2:$V108,"Yes"),"000000"))</f>
        <v/>
      </c>
      <c r="B108">
        <f>Scoring_Model!A108</f>
        <v/>
      </c>
      <c r="C108">
        <f>Scoring_Model!B108</f>
        <v/>
      </c>
      <c r="D108">
        <f>Scoring_Model!C108</f>
        <v/>
      </c>
      <c r="E108">
        <f>Scoring_Model!S108</f>
        <v/>
      </c>
      <c r="F108">
        <f>Scoring_Model!T108</f>
        <v/>
      </c>
      <c r="G108" s="2">
        <f>Scoring_Model!R108</f>
        <v/>
      </c>
      <c r="H108">
        <f>Scoring_Model!P108</f>
        <v/>
      </c>
      <c r="I108">
        <f>IF(Scoring_Model!V108&lt;&gt;"Yes","",IFERROR(XLOOKUP(D108&amp;"|anchor",Scoring_Model!$X$2:$X$300,Scoring_Model!$Y$2:$Y$300,INDEX(Scoring_Model!$Y$2:$Y$300,MATCH("Yes",Scoring_Model!$U$2:$U$300,0))),"No anchor found"))</f>
        <v/>
      </c>
      <c r="J108" s="2">
        <f>Scoring_Model!W108</f>
        <v/>
      </c>
      <c r="K108">
        <f>IF(Scoring_Model!V108&lt;&gt;"Yes","",IF(F108="High Value Bundle","1 anchor + 1 slow mover",IF(F108="Medium Value Bundle","1 anchor + 2 slow movers","1 anchor + 2 slow movers (aggressive clearout)")))</f>
        <v/>
      </c>
      <c r="L108">
        <f>IF(B108="","",IF(Scoring_Model!V108&lt;&gt;"Yes","Not a slow-mover bundle candidate","Bundle to move slow stock with controlled discount"))</f>
        <v/>
      </c>
    </row>
    <row r="109">
      <c r="A109">
        <f>IF(Scoring_Model!V109&lt;&gt;"Yes","","RB-"&amp;TEXT(COUNTIF(Scoring_Model!$V$2:$V109,"Yes"),"000000"))</f>
        <v/>
      </c>
      <c r="B109">
        <f>Scoring_Model!A109</f>
        <v/>
      </c>
      <c r="C109">
        <f>Scoring_Model!B109</f>
        <v/>
      </c>
      <c r="D109">
        <f>Scoring_Model!C109</f>
        <v/>
      </c>
      <c r="E109">
        <f>Scoring_Model!S109</f>
        <v/>
      </c>
      <c r="F109">
        <f>Scoring_Model!T109</f>
        <v/>
      </c>
      <c r="G109" s="2">
        <f>Scoring_Model!R109</f>
        <v/>
      </c>
      <c r="H109">
        <f>Scoring_Model!P109</f>
        <v/>
      </c>
      <c r="I109">
        <f>IF(Scoring_Model!V109&lt;&gt;"Yes","",IFERROR(XLOOKUP(D109&amp;"|anchor",Scoring_Model!$X$2:$X$300,Scoring_Model!$Y$2:$Y$300,INDEX(Scoring_Model!$Y$2:$Y$300,MATCH("Yes",Scoring_Model!$U$2:$U$300,0))),"No anchor found"))</f>
        <v/>
      </c>
      <c r="J109" s="2">
        <f>Scoring_Model!W109</f>
        <v/>
      </c>
      <c r="K109">
        <f>IF(Scoring_Model!V109&lt;&gt;"Yes","",IF(F109="High Value Bundle","1 anchor + 1 slow mover",IF(F109="Medium Value Bundle","1 anchor + 2 slow movers","1 anchor + 2 slow movers (aggressive clearout)")))</f>
        <v/>
      </c>
      <c r="L109">
        <f>IF(B109="","",IF(Scoring_Model!V109&lt;&gt;"Yes","Not a slow-mover bundle candidate","Bundle to move slow stock with controlled discount"))</f>
        <v/>
      </c>
    </row>
    <row r="110">
      <c r="A110">
        <f>IF(Scoring_Model!V110&lt;&gt;"Yes","","RB-"&amp;TEXT(COUNTIF(Scoring_Model!$V$2:$V110,"Yes"),"000000"))</f>
        <v/>
      </c>
      <c r="B110">
        <f>Scoring_Model!A110</f>
        <v/>
      </c>
      <c r="C110">
        <f>Scoring_Model!B110</f>
        <v/>
      </c>
      <c r="D110">
        <f>Scoring_Model!C110</f>
        <v/>
      </c>
      <c r="E110">
        <f>Scoring_Model!S110</f>
        <v/>
      </c>
      <c r="F110">
        <f>Scoring_Model!T110</f>
        <v/>
      </c>
      <c r="G110" s="2">
        <f>Scoring_Model!R110</f>
        <v/>
      </c>
      <c r="H110">
        <f>Scoring_Model!P110</f>
        <v/>
      </c>
      <c r="I110">
        <f>IF(Scoring_Model!V110&lt;&gt;"Yes","",IFERROR(XLOOKUP(D110&amp;"|anchor",Scoring_Model!$X$2:$X$300,Scoring_Model!$Y$2:$Y$300,INDEX(Scoring_Model!$Y$2:$Y$300,MATCH("Yes",Scoring_Model!$U$2:$U$300,0))),"No anchor found"))</f>
        <v/>
      </c>
      <c r="J110" s="2">
        <f>Scoring_Model!W110</f>
        <v/>
      </c>
      <c r="K110">
        <f>IF(Scoring_Model!V110&lt;&gt;"Yes","",IF(F110="High Value Bundle","1 anchor + 1 slow mover",IF(F110="Medium Value Bundle","1 anchor + 2 slow movers","1 anchor + 2 slow movers (aggressive clearout)")))</f>
        <v/>
      </c>
      <c r="L110">
        <f>IF(B110="","",IF(Scoring_Model!V110&lt;&gt;"Yes","Not a slow-mover bundle candidate","Bundle to move slow stock with controlled discount"))</f>
        <v/>
      </c>
    </row>
    <row r="111">
      <c r="A111">
        <f>IF(Scoring_Model!V111&lt;&gt;"Yes","","RB-"&amp;TEXT(COUNTIF(Scoring_Model!$V$2:$V111,"Yes"),"000000"))</f>
        <v/>
      </c>
      <c r="B111">
        <f>Scoring_Model!A111</f>
        <v/>
      </c>
      <c r="C111">
        <f>Scoring_Model!B111</f>
        <v/>
      </c>
      <c r="D111">
        <f>Scoring_Model!C111</f>
        <v/>
      </c>
      <c r="E111">
        <f>Scoring_Model!S111</f>
        <v/>
      </c>
      <c r="F111">
        <f>Scoring_Model!T111</f>
        <v/>
      </c>
      <c r="G111" s="2">
        <f>Scoring_Model!R111</f>
        <v/>
      </c>
      <c r="H111">
        <f>Scoring_Model!P111</f>
        <v/>
      </c>
      <c r="I111">
        <f>IF(Scoring_Model!V111&lt;&gt;"Yes","",IFERROR(XLOOKUP(D111&amp;"|anchor",Scoring_Model!$X$2:$X$300,Scoring_Model!$Y$2:$Y$300,INDEX(Scoring_Model!$Y$2:$Y$300,MATCH("Yes",Scoring_Model!$U$2:$U$300,0))),"No anchor found"))</f>
        <v/>
      </c>
      <c r="J111" s="2">
        <f>Scoring_Model!W111</f>
        <v/>
      </c>
      <c r="K111">
        <f>IF(Scoring_Model!V111&lt;&gt;"Yes","",IF(F111="High Value Bundle","1 anchor + 1 slow mover",IF(F111="Medium Value Bundle","1 anchor + 2 slow movers","1 anchor + 2 slow movers (aggressive clearout)")))</f>
        <v/>
      </c>
      <c r="L111">
        <f>IF(B111="","",IF(Scoring_Model!V111&lt;&gt;"Yes","Not a slow-mover bundle candidate","Bundle to move slow stock with controlled discount"))</f>
        <v/>
      </c>
    </row>
    <row r="112">
      <c r="A112">
        <f>IF(Scoring_Model!V112&lt;&gt;"Yes","","RB-"&amp;TEXT(COUNTIF(Scoring_Model!$V$2:$V112,"Yes"),"000000"))</f>
        <v/>
      </c>
      <c r="B112">
        <f>Scoring_Model!A112</f>
        <v/>
      </c>
      <c r="C112">
        <f>Scoring_Model!B112</f>
        <v/>
      </c>
      <c r="D112">
        <f>Scoring_Model!C112</f>
        <v/>
      </c>
      <c r="E112">
        <f>Scoring_Model!S112</f>
        <v/>
      </c>
      <c r="F112">
        <f>Scoring_Model!T112</f>
        <v/>
      </c>
      <c r="G112" s="2">
        <f>Scoring_Model!R112</f>
        <v/>
      </c>
      <c r="H112">
        <f>Scoring_Model!P112</f>
        <v/>
      </c>
      <c r="I112">
        <f>IF(Scoring_Model!V112&lt;&gt;"Yes","",IFERROR(XLOOKUP(D112&amp;"|anchor",Scoring_Model!$X$2:$X$300,Scoring_Model!$Y$2:$Y$300,INDEX(Scoring_Model!$Y$2:$Y$300,MATCH("Yes",Scoring_Model!$U$2:$U$300,0))),"No anchor found"))</f>
        <v/>
      </c>
      <c r="J112" s="2">
        <f>Scoring_Model!W112</f>
        <v/>
      </c>
      <c r="K112">
        <f>IF(Scoring_Model!V112&lt;&gt;"Yes","",IF(F112="High Value Bundle","1 anchor + 1 slow mover",IF(F112="Medium Value Bundle","1 anchor + 2 slow movers","1 anchor + 2 slow movers (aggressive clearout)")))</f>
        <v/>
      </c>
      <c r="L112">
        <f>IF(B112="","",IF(Scoring_Model!V112&lt;&gt;"Yes","Not a slow-mover bundle candidate","Bundle to move slow stock with controlled discount"))</f>
        <v/>
      </c>
    </row>
    <row r="113">
      <c r="A113">
        <f>IF(Scoring_Model!V113&lt;&gt;"Yes","","RB-"&amp;TEXT(COUNTIF(Scoring_Model!$V$2:$V113,"Yes"),"000000"))</f>
        <v/>
      </c>
      <c r="B113">
        <f>Scoring_Model!A113</f>
        <v/>
      </c>
      <c r="C113">
        <f>Scoring_Model!B113</f>
        <v/>
      </c>
      <c r="D113">
        <f>Scoring_Model!C113</f>
        <v/>
      </c>
      <c r="E113">
        <f>Scoring_Model!S113</f>
        <v/>
      </c>
      <c r="F113">
        <f>Scoring_Model!T113</f>
        <v/>
      </c>
      <c r="G113" s="2">
        <f>Scoring_Model!R113</f>
        <v/>
      </c>
      <c r="H113">
        <f>Scoring_Model!P113</f>
        <v/>
      </c>
      <c r="I113">
        <f>IF(Scoring_Model!V113&lt;&gt;"Yes","",IFERROR(XLOOKUP(D113&amp;"|anchor",Scoring_Model!$X$2:$X$300,Scoring_Model!$Y$2:$Y$300,INDEX(Scoring_Model!$Y$2:$Y$300,MATCH("Yes",Scoring_Model!$U$2:$U$300,0))),"No anchor found"))</f>
        <v/>
      </c>
      <c r="J113" s="2">
        <f>Scoring_Model!W113</f>
        <v/>
      </c>
      <c r="K113">
        <f>IF(Scoring_Model!V113&lt;&gt;"Yes","",IF(F113="High Value Bundle","1 anchor + 1 slow mover",IF(F113="Medium Value Bundle","1 anchor + 2 slow movers","1 anchor + 2 slow movers (aggressive clearout)")))</f>
        <v/>
      </c>
      <c r="L113">
        <f>IF(B113="","",IF(Scoring_Model!V113&lt;&gt;"Yes","Not a slow-mover bundle candidate","Bundle to move slow stock with controlled discount"))</f>
        <v/>
      </c>
    </row>
    <row r="114">
      <c r="A114">
        <f>IF(Scoring_Model!V114&lt;&gt;"Yes","","RB-"&amp;TEXT(COUNTIF(Scoring_Model!$V$2:$V114,"Yes"),"000000"))</f>
        <v/>
      </c>
      <c r="B114">
        <f>Scoring_Model!A114</f>
        <v/>
      </c>
      <c r="C114">
        <f>Scoring_Model!B114</f>
        <v/>
      </c>
      <c r="D114">
        <f>Scoring_Model!C114</f>
        <v/>
      </c>
      <c r="E114">
        <f>Scoring_Model!S114</f>
        <v/>
      </c>
      <c r="F114">
        <f>Scoring_Model!T114</f>
        <v/>
      </c>
      <c r="G114" s="2">
        <f>Scoring_Model!R114</f>
        <v/>
      </c>
      <c r="H114">
        <f>Scoring_Model!P114</f>
        <v/>
      </c>
      <c r="I114">
        <f>IF(Scoring_Model!V114&lt;&gt;"Yes","",IFERROR(XLOOKUP(D114&amp;"|anchor",Scoring_Model!$X$2:$X$300,Scoring_Model!$Y$2:$Y$300,INDEX(Scoring_Model!$Y$2:$Y$300,MATCH("Yes",Scoring_Model!$U$2:$U$300,0))),"No anchor found"))</f>
        <v/>
      </c>
      <c r="J114" s="2">
        <f>Scoring_Model!W114</f>
        <v/>
      </c>
      <c r="K114">
        <f>IF(Scoring_Model!V114&lt;&gt;"Yes","",IF(F114="High Value Bundle","1 anchor + 1 slow mover",IF(F114="Medium Value Bundle","1 anchor + 2 slow movers","1 anchor + 2 slow movers (aggressive clearout)")))</f>
        <v/>
      </c>
      <c r="L114">
        <f>IF(B114="","",IF(Scoring_Model!V114&lt;&gt;"Yes","Not a slow-mover bundle candidate","Bundle to move slow stock with controlled discount"))</f>
        <v/>
      </c>
    </row>
    <row r="115">
      <c r="A115">
        <f>IF(Scoring_Model!V115&lt;&gt;"Yes","","RB-"&amp;TEXT(COUNTIF(Scoring_Model!$V$2:$V115,"Yes"),"000000"))</f>
        <v/>
      </c>
      <c r="B115">
        <f>Scoring_Model!A115</f>
        <v/>
      </c>
      <c r="C115">
        <f>Scoring_Model!B115</f>
        <v/>
      </c>
      <c r="D115">
        <f>Scoring_Model!C115</f>
        <v/>
      </c>
      <c r="E115">
        <f>Scoring_Model!S115</f>
        <v/>
      </c>
      <c r="F115">
        <f>Scoring_Model!T115</f>
        <v/>
      </c>
      <c r="G115" s="2">
        <f>Scoring_Model!R115</f>
        <v/>
      </c>
      <c r="H115">
        <f>Scoring_Model!P115</f>
        <v/>
      </c>
      <c r="I115">
        <f>IF(Scoring_Model!V115&lt;&gt;"Yes","",IFERROR(XLOOKUP(D115&amp;"|anchor",Scoring_Model!$X$2:$X$300,Scoring_Model!$Y$2:$Y$300,INDEX(Scoring_Model!$Y$2:$Y$300,MATCH("Yes",Scoring_Model!$U$2:$U$300,0))),"No anchor found"))</f>
        <v/>
      </c>
      <c r="J115" s="2">
        <f>Scoring_Model!W115</f>
        <v/>
      </c>
      <c r="K115">
        <f>IF(Scoring_Model!V115&lt;&gt;"Yes","",IF(F115="High Value Bundle","1 anchor + 1 slow mover",IF(F115="Medium Value Bundle","1 anchor + 2 slow movers","1 anchor + 2 slow movers (aggressive clearout)")))</f>
        <v/>
      </c>
      <c r="L115">
        <f>IF(B115="","",IF(Scoring_Model!V115&lt;&gt;"Yes","Not a slow-mover bundle candidate","Bundle to move slow stock with controlled discount"))</f>
        <v/>
      </c>
    </row>
    <row r="116">
      <c r="A116">
        <f>IF(Scoring_Model!V116&lt;&gt;"Yes","","RB-"&amp;TEXT(COUNTIF(Scoring_Model!$V$2:$V116,"Yes"),"000000"))</f>
        <v/>
      </c>
      <c r="B116">
        <f>Scoring_Model!A116</f>
        <v/>
      </c>
      <c r="C116">
        <f>Scoring_Model!B116</f>
        <v/>
      </c>
      <c r="D116">
        <f>Scoring_Model!C116</f>
        <v/>
      </c>
      <c r="E116">
        <f>Scoring_Model!S116</f>
        <v/>
      </c>
      <c r="F116">
        <f>Scoring_Model!T116</f>
        <v/>
      </c>
      <c r="G116" s="2">
        <f>Scoring_Model!R116</f>
        <v/>
      </c>
      <c r="H116">
        <f>Scoring_Model!P116</f>
        <v/>
      </c>
      <c r="I116">
        <f>IF(Scoring_Model!V116&lt;&gt;"Yes","",IFERROR(XLOOKUP(D116&amp;"|anchor",Scoring_Model!$X$2:$X$300,Scoring_Model!$Y$2:$Y$300,INDEX(Scoring_Model!$Y$2:$Y$300,MATCH("Yes",Scoring_Model!$U$2:$U$300,0))),"No anchor found"))</f>
        <v/>
      </c>
      <c r="J116" s="2">
        <f>Scoring_Model!W116</f>
        <v/>
      </c>
      <c r="K116">
        <f>IF(Scoring_Model!V116&lt;&gt;"Yes","",IF(F116="High Value Bundle","1 anchor + 1 slow mover",IF(F116="Medium Value Bundle","1 anchor + 2 slow movers","1 anchor + 2 slow movers (aggressive clearout)")))</f>
        <v/>
      </c>
      <c r="L116">
        <f>IF(B116="","",IF(Scoring_Model!V116&lt;&gt;"Yes","Not a slow-mover bundle candidate","Bundle to move slow stock with controlled discount"))</f>
        <v/>
      </c>
    </row>
    <row r="117">
      <c r="A117">
        <f>IF(Scoring_Model!V117&lt;&gt;"Yes","","RB-"&amp;TEXT(COUNTIF(Scoring_Model!$V$2:$V117,"Yes"),"000000"))</f>
        <v/>
      </c>
      <c r="B117">
        <f>Scoring_Model!A117</f>
        <v/>
      </c>
      <c r="C117">
        <f>Scoring_Model!B117</f>
        <v/>
      </c>
      <c r="D117">
        <f>Scoring_Model!C117</f>
        <v/>
      </c>
      <c r="E117">
        <f>Scoring_Model!S117</f>
        <v/>
      </c>
      <c r="F117">
        <f>Scoring_Model!T117</f>
        <v/>
      </c>
      <c r="G117" s="2">
        <f>Scoring_Model!R117</f>
        <v/>
      </c>
      <c r="H117">
        <f>Scoring_Model!P117</f>
        <v/>
      </c>
      <c r="I117">
        <f>IF(Scoring_Model!V117&lt;&gt;"Yes","",IFERROR(XLOOKUP(D117&amp;"|anchor",Scoring_Model!$X$2:$X$300,Scoring_Model!$Y$2:$Y$300,INDEX(Scoring_Model!$Y$2:$Y$300,MATCH("Yes",Scoring_Model!$U$2:$U$300,0))),"No anchor found"))</f>
        <v/>
      </c>
      <c r="J117" s="2">
        <f>Scoring_Model!W117</f>
        <v/>
      </c>
      <c r="K117">
        <f>IF(Scoring_Model!V117&lt;&gt;"Yes","",IF(F117="High Value Bundle","1 anchor + 1 slow mover",IF(F117="Medium Value Bundle","1 anchor + 2 slow movers","1 anchor + 2 slow movers (aggressive clearout)")))</f>
        <v/>
      </c>
      <c r="L117">
        <f>IF(B117="","",IF(Scoring_Model!V117&lt;&gt;"Yes","Not a slow-mover bundle candidate","Bundle to move slow stock with controlled discount"))</f>
        <v/>
      </c>
    </row>
    <row r="118">
      <c r="A118">
        <f>IF(Scoring_Model!V118&lt;&gt;"Yes","","RB-"&amp;TEXT(COUNTIF(Scoring_Model!$V$2:$V118,"Yes"),"000000"))</f>
        <v/>
      </c>
      <c r="B118">
        <f>Scoring_Model!A118</f>
        <v/>
      </c>
      <c r="C118">
        <f>Scoring_Model!B118</f>
        <v/>
      </c>
      <c r="D118">
        <f>Scoring_Model!C118</f>
        <v/>
      </c>
      <c r="E118">
        <f>Scoring_Model!S118</f>
        <v/>
      </c>
      <c r="F118">
        <f>Scoring_Model!T118</f>
        <v/>
      </c>
      <c r="G118" s="2">
        <f>Scoring_Model!R118</f>
        <v/>
      </c>
      <c r="H118">
        <f>Scoring_Model!P118</f>
        <v/>
      </c>
      <c r="I118">
        <f>IF(Scoring_Model!V118&lt;&gt;"Yes","",IFERROR(XLOOKUP(D118&amp;"|anchor",Scoring_Model!$X$2:$X$300,Scoring_Model!$Y$2:$Y$300,INDEX(Scoring_Model!$Y$2:$Y$300,MATCH("Yes",Scoring_Model!$U$2:$U$300,0))),"No anchor found"))</f>
        <v/>
      </c>
      <c r="J118" s="2">
        <f>Scoring_Model!W118</f>
        <v/>
      </c>
      <c r="K118">
        <f>IF(Scoring_Model!V118&lt;&gt;"Yes","",IF(F118="High Value Bundle","1 anchor + 1 slow mover",IF(F118="Medium Value Bundle","1 anchor + 2 slow movers","1 anchor + 2 slow movers (aggressive clearout)")))</f>
        <v/>
      </c>
      <c r="L118">
        <f>IF(B118="","",IF(Scoring_Model!V118&lt;&gt;"Yes","Not a slow-mover bundle candidate","Bundle to move slow stock with controlled discount"))</f>
        <v/>
      </c>
    </row>
    <row r="119">
      <c r="A119">
        <f>IF(Scoring_Model!V119&lt;&gt;"Yes","","RB-"&amp;TEXT(COUNTIF(Scoring_Model!$V$2:$V119,"Yes"),"000000"))</f>
        <v/>
      </c>
      <c r="B119">
        <f>Scoring_Model!A119</f>
        <v/>
      </c>
      <c r="C119">
        <f>Scoring_Model!B119</f>
        <v/>
      </c>
      <c r="D119">
        <f>Scoring_Model!C119</f>
        <v/>
      </c>
      <c r="E119">
        <f>Scoring_Model!S119</f>
        <v/>
      </c>
      <c r="F119">
        <f>Scoring_Model!T119</f>
        <v/>
      </c>
      <c r="G119" s="2">
        <f>Scoring_Model!R119</f>
        <v/>
      </c>
      <c r="H119">
        <f>Scoring_Model!P119</f>
        <v/>
      </c>
      <c r="I119">
        <f>IF(Scoring_Model!V119&lt;&gt;"Yes","",IFERROR(XLOOKUP(D119&amp;"|anchor",Scoring_Model!$X$2:$X$300,Scoring_Model!$Y$2:$Y$300,INDEX(Scoring_Model!$Y$2:$Y$300,MATCH("Yes",Scoring_Model!$U$2:$U$300,0))),"No anchor found"))</f>
        <v/>
      </c>
      <c r="J119" s="2">
        <f>Scoring_Model!W119</f>
        <v/>
      </c>
      <c r="K119">
        <f>IF(Scoring_Model!V119&lt;&gt;"Yes","",IF(F119="High Value Bundle","1 anchor + 1 slow mover",IF(F119="Medium Value Bundle","1 anchor + 2 slow movers","1 anchor + 2 slow movers (aggressive clearout)")))</f>
        <v/>
      </c>
      <c r="L119">
        <f>IF(B119="","",IF(Scoring_Model!V119&lt;&gt;"Yes","Not a slow-mover bundle candidate","Bundle to move slow stock with controlled discount"))</f>
        <v/>
      </c>
    </row>
    <row r="120">
      <c r="A120">
        <f>IF(Scoring_Model!V120&lt;&gt;"Yes","","RB-"&amp;TEXT(COUNTIF(Scoring_Model!$V$2:$V120,"Yes"),"000000"))</f>
        <v/>
      </c>
      <c r="B120">
        <f>Scoring_Model!A120</f>
        <v/>
      </c>
      <c r="C120">
        <f>Scoring_Model!B120</f>
        <v/>
      </c>
      <c r="D120">
        <f>Scoring_Model!C120</f>
        <v/>
      </c>
      <c r="E120">
        <f>Scoring_Model!S120</f>
        <v/>
      </c>
      <c r="F120">
        <f>Scoring_Model!T120</f>
        <v/>
      </c>
      <c r="G120" s="2">
        <f>Scoring_Model!R120</f>
        <v/>
      </c>
      <c r="H120">
        <f>Scoring_Model!P120</f>
        <v/>
      </c>
      <c r="I120">
        <f>IF(Scoring_Model!V120&lt;&gt;"Yes","",IFERROR(XLOOKUP(D120&amp;"|anchor",Scoring_Model!$X$2:$X$300,Scoring_Model!$Y$2:$Y$300,INDEX(Scoring_Model!$Y$2:$Y$300,MATCH("Yes",Scoring_Model!$U$2:$U$300,0))),"No anchor found"))</f>
        <v/>
      </c>
      <c r="J120" s="2">
        <f>Scoring_Model!W120</f>
        <v/>
      </c>
      <c r="K120">
        <f>IF(Scoring_Model!V120&lt;&gt;"Yes","",IF(F120="High Value Bundle","1 anchor + 1 slow mover",IF(F120="Medium Value Bundle","1 anchor + 2 slow movers","1 anchor + 2 slow movers (aggressive clearout)")))</f>
        <v/>
      </c>
      <c r="L120">
        <f>IF(B120="","",IF(Scoring_Model!V120&lt;&gt;"Yes","Not a slow-mover bundle candidate","Bundle to move slow stock with controlled discount"))</f>
        <v/>
      </c>
    </row>
    <row r="121">
      <c r="A121">
        <f>IF(Scoring_Model!V121&lt;&gt;"Yes","","RB-"&amp;TEXT(COUNTIF(Scoring_Model!$V$2:$V121,"Yes"),"000000"))</f>
        <v/>
      </c>
      <c r="B121">
        <f>Scoring_Model!A121</f>
        <v/>
      </c>
      <c r="C121">
        <f>Scoring_Model!B121</f>
        <v/>
      </c>
      <c r="D121">
        <f>Scoring_Model!C121</f>
        <v/>
      </c>
      <c r="E121">
        <f>Scoring_Model!S121</f>
        <v/>
      </c>
      <c r="F121">
        <f>Scoring_Model!T121</f>
        <v/>
      </c>
      <c r="G121" s="2">
        <f>Scoring_Model!R121</f>
        <v/>
      </c>
      <c r="H121">
        <f>Scoring_Model!P121</f>
        <v/>
      </c>
      <c r="I121">
        <f>IF(Scoring_Model!V121&lt;&gt;"Yes","",IFERROR(XLOOKUP(D121&amp;"|anchor",Scoring_Model!$X$2:$X$300,Scoring_Model!$Y$2:$Y$300,INDEX(Scoring_Model!$Y$2:$Y$300,MATCH("Yes",Scoring_Model!$U$2:$U$300,0))),"No anchor found"))</f>
        <v/>
      </c>
      <c r="J121" s="2">
        <f>Scoring_Model!W121</f>
        <v/>
      </c>
      <c r="K121">
        <f>IF(Scoring_Model!V121&lt;&gt;"Yes","",IF(F121="High Value Bundle","1 anchor + 1 slow mover",IF(F121="Medium Value Bundle","1 anchor + 2 slow movers","1 anchor + 2 slow movers (aggressive clearout)")))</f>
        <v/>
      </c>
      <c r="L121">
        <f>IF(B121="","",IF(Scoring_Model!V121&lt;&gt;"Yes","Not a slow-mover bundle candidate","Bundle to move slow stock with controlled discount"))</f>
        <v/>
      </c>
    </row>
    <row r="122">
      <c r="A122">
        <f>IF(Scoring_Model!V122&lt;&gt;"Yes","","RB-"&amp;TEXT(COUNTIF(Scoring_Model!$V$2:$V122,"Yes"),"000000"))</f>
        <v/>
      </c>
      <c r="B122">
        <f>Scoring_Model!A122</f>
        <v/>
      </c>
      <c r="C122">
        <f>Scoring_Model!B122</f>
        <v/>
      </c>
      <c r="D122">
        <f>Scoring_Model!C122</f>
        <v/>
      </c>
      <c r="E122">
        <f>Scoring_Model!S122</f>
        <v/>
      </c>
      <c r="F122">
        <f>Scoring_Model!T122</f>
        <v/>
      </c>
      <c r="G122" s="2">
        <f>Scoring_Model!R122</f>
        <v/>
      </c>
      <c r="H122">
        <f>Scoring_Model!P122</f>
        <v/>
      </c>
      <c r="I122">
        <f>IF(Scoring_Model!V122&lt;&gt;"Yes","",IFERROR(XLOOKUP(D122&amp;"|anchor",Scoring_Model!$X$2:$X$300,Scoring_Model!$Y$2:$Y$300,INDEX(Scoring_Model!$Y$2:$Y$300,MATCH("Yes",Scoring_Model!$U$2:$U$300,0))),"No anchor found"))</f>
        <v/>
      </c>
      <c r="J122" s="2">
        <f>Scoring_Model!W122</f>
        <v/>
      </c>
      <c r="K122">
        <f>IF(Scoring_Model!V122&lt;&gt;"Yes","",IF(F122="High Value Bundle","1 anchor + 1 slow mover",IF(F122="Medium Value Bundle","1 anchor + 2 slow movers","1 anchor + 2 slow movers (aggressive clearout)")))</f>
        <v/>
      </c>
      <c r="L122">
        <f>IF(B122="","",IF(Scoring_Model!V122&lt;&gt;"Yes","Not a slow-mover bundle candidate","Bundle to move slow stock with controlled discount"))</f>
        <v/>
      </c>
    </row>
    <row r="123">
      <c r="A123">
        <f>IF(Scoring_Model!V123&lt;&gt;"Yes","","RB-"&amp;TEXT(COUNTIF(Scoring_Model!$V$2:$V123,"Yes"),"000000"))</f>
        <v/>
      </c>
      <c r="B123">
        <f>Scoring_Model!A123</f>
        <v/>
      </c>
      <c r="C123">
        <f>Scoring_Model!B123</f>
        <v/>
      </c>
      <c r="D123">
        <f>Scoring_Model!C123</f>
        <v/>
      </c>
      <c r="E123">
        <f>Scoring_Model!S123</f>
        <v/>
      </c>
      <c r="F123">
        <f>Scoring_Model!T123</f>
        <v/>
      </c>
      <c r="G123" s="2">
        <f>Scoring_Model!R123</f>
        <v/>
      </c>
      <c r="H123">
        <f>Scoring_Model!P123</f>
        <v/>
      </c>
      <c r="I123">
        <f>IF(Scoring_Model!V123&lt;&gt;"Yes","",IFERROR(XLOOKUP(D123&amp;"|anchor",Scoring_Model!$X$2:$X$300,Scoring_Model!$Y$2:$Y$300,INDEX(Scoring_Model!$Y$2:$Y$300,MATCH("Yes",Scoring_Model!$U$2:$U$300,0))),"No anchor found"))</f>
        <v/>
      </c>
      <c r="J123" s="2">
        <f>Scoring_Model!W123</f>
        <v/>
      </c>
      <c r="K123">
        <f>IF(Scoring_Model!V123&lt;&gt;"Yes","",IF(F123="High Value Bundle","1 anchor + 1 slow mover",IF(F123="Medium Value Bundle","1 anchor + 2 slow movers","1 anchor + 2 slow movers (aggressive clearout)")))</f>
        <v/>
      </c>
      <c r="L123">
        <f>IF(B123="","",IF(Scoring_Model!V123&lt;&gt;"Yes","Not a slow-mover bundle candidate","Bundle to move slow stock with controlled discount"))</f>
        <v/>
      </c>
    </row>
    <row r="124">
      <c r="A124">
        <f>IF(Scoring_Model!V124&lt;&gt;"Yes","","RB-"&amp;TEXT(COUNTIF(Scoring_Model!$V$2:$V124,"Yes"),"000000"))</f>
        <v/>
      </c>
      <c r="B124">
        <f>Scoring_Model!A124</f>
        <v/>
      </c>
      <c r="C124">
        <f>Scoring_Model!B124</f>
        <v/>
      </c>
      <c r="D124">
        <f>Scoring_Model!C124</f>
        <v/>
      </c>
      <c r="E124">
        <f>Scoring_Model!S124</f>
        <v/>
      </c>
      <c r="F124">
        <f>Scoring_Model!T124</f>
        <v/>
      </c>
      <c r="G124" s="2">
        <f>Scoring_Model!R124</f>
        <v/>
      </c>
      <c r="H124">
        <f>Scoring_Model!P124</f>
        <v/>
      </c>
      <c r="I124">
        <f>IF(Scoring_Model!V124&lt;&gt;"Yes","",IFERROR(XLOOKUP(D124&amp;"|anchor",Scoring_Model!$X$2:$X$300,Scoring_Model!$Y$2:$Y$300,INDEX(Scoring_Model!$Y$2:$Y$300,MATCH("Yes",Scoring_Model!$U$2:$U$300,0))),"No anchor found"))</f>
        <v/>
      </c>
      <c r="J124" s="2">
        <f>Scoring_Model!W124</f>
        <v/>
      </c>
      <c r="K124">
        <f>IF(Scoring_Model!V124&lt;&gt;"Yes","",IF(F124="High Value Bundle","1 anchor + 1 slow mover",IF(F124="Medium Value Bundle","1 anchor + 2 slow movers","1 anchor + 2 slow movers (aggressive clearout)")))</f>
        <v/>
      </c>
      <c r="L124">
        <f>IF(B124="","",IF(Scoring_Model!V124&lt;&gt;"Yes","Not a slow-mover bundle candidate","Bundle to move slow stock with controlled discount"))</f>
        <v/>
      </c>
    </row>
    <row r="125">
      <c r="A125">
        <f>IF(Scoring_Model!V125&lt;&gt;"Yes","","RB-"&amp;TEXT(COUNTIF(Scoring_Model!$V$2:$V125,"Yes"),"000000"))</f>
        <v/>
      </c>
      <c r="B125">
        <f>Scoring_Model!A125</f>
        <v/>
      </c>
      <c r="C125">
        <f>Scoring_Model!B125</f>
        <v/>
      </c>
      <c r="D125">
        <f>Scoring_Model!C125</f>
        <v/>
      </c>
      <c r="E125">
        <f>Scoring_Model!S125</f>
        <v/>
      </c>
      <c r="F125">
        <f>Scoring_Model!T125</f>
        <v/>
      </c>
      <c r="G125" s="2">
        <f>Scoring_Model!R125</f>
        <v/>
      </c>
      <c r="H125">
        <f>Scoring_Model!P125</f>
        <v/>
      </c>
      <c r="I125">
        <f>IF(Scoring_Model!V125&lt;&gt;"Yes","",IFERROR(XLOOKUP(D125&amp;"|anchor",Scoring_Model!$X$2:$X$300,Scoring_Model!$Y$2:$Y$300,INDEX(Scoring_Model!$Y$2:$Y$300,MATCH("Yes",Scoring_Model!$U$2:$U$300,0))),"No anchor found"))</f>
        <v/>
      </c>
      <c r="J125" s="2">
        <f>Scoring_Model!W125</f>
        <v/>
      </c>
      <c r="K125">
        <f>IF(Scoring_Model!V125&lt;&gt;"Yes","",IF(F125="High Value Bundle","1 anchor + 1 slow mover",IF(F125="Medium Value Bundle","1 anchor + 2 slow movers","1 anchor + 2 slow movers (aggressive clearout)")))</f>
        <v/>
      </c>
      <c r="L125">
        <f>IF(B125="","",IF(Scoring_Model!V125&lt;&gt;"Yes","Not a slow-mover bundle candidate","Bundle to move slow stock with controlled discount"))</f>
        <v/>
      </c>
    </row>
    <row r="126">
      <c r="A126">
        <f>IF(Scoring_Model!V126&lt;&gt;"Yes","","RB-"&amp;TEXT(COUNTIF(Scoring_Model!$V$2:$V126,"Yes"),"000000"))</f>
        <v/>
      </c>
      <c r="B126">
        <f>Scoring_Model!A126</f>
        <v/>
      </c>
      <c r="C126">
        <f>Scoring_Model!B126</f>
        <v/>
      </c>
      <c r="D126">
        <f>Scoring_Model!C126</f>
        <v/>
      </c>
      <c r="E126">
        <f>Scoring_Model!S126</f>
        <v/>
      </c>
      <c r="F126">
        <f>Scoring_Model!T126</f>
        <v/>
      </c>
      <c r="G126" s="2">
        <f>Scoring_Model!R126</f>
        <v/>
      </c>
      <c r="H126">
        <f>Scoring_Model!P126</f>
        <v/>
      </c>
      <c r="I126">
        <f>IF(Scoring_Model!V126&lt;&gt;"Yes","",IFERROR(XLOOKUP(D126&amp;"|anchor",Scoring_Model!$X$2:$X$300,Scoring_Model!$Y$2:$Y$300,INDEX(Scoring_Model!$Y$2:$Y$300,MATCH("Yes",Scoring_Model!$U$2:$U$300,0))),"No anchor found"))</f>
        <v/>
      </c>
      <c r="J126" s="2">
        <f>Scoring_Model!W126</f>
        <v/>
      </c>
      <c r="K126">
        <f>IF(Scoring_Model!V126&lt;&gt;"Yes","",IF(F126="High Value Bundle","1 anchor + 1 slow mover",IF(F126="Medium Value Bundle","1 anchor + 2 slow movers","1 anchor + 2 slow movers (aggressive clearout)")))</f>
        <v/>
      </c>
      <c r="L126">
        <f>IF(B126="","",IF(Scoring_Model!V126&lt;&gt;"Yes","Not a slow-mover bundle candidate","Bundle to move slow stock with controlled discount"))</f>
        <v/>
      </c>
    </row>
    <row r="127">
      <c r="A127">
        <f>IF(Scoring_Model!V127&lt;&gt;"Yes","","RB-"&amp;TEXT(COUNTIF(Scoring_Model!$V$2:$V127,"Yes"),"000000"))</f>
        <v/>
      </c>
      <c r="B127">
        <f>Scoring_Model!A127</f>
        <v/>
      </c>
      <c r="C127">
        <f>Scoring_Model!B127</f>
        <v/>
      </c>
      <c r="D127">
        <f>Scoring_Model!C127</f>
        <v/>
      </c>
      <c r="E127">
        <f>Scoring_Model!S127</f>
        <v/>
      </c>
      <c r="F127">
        <f>Scoring_Model!T127</f>
        <v/>
      </c>
      <c r="G127" s="2">
        <f>Scoring_Model!R127</f>
        <v/>
      </c>
      <c r="H127">
        <f>Scoring_Model!P127</f>
        <v/>
      </c>
      <c r="I127">
        <f>IF(Scoring_Model!V127&lt;&gt;"Yes","",IFERROR(XLOOKUP(D127&amp;"|anchor",Scoring_Model!$X$2:$X$300,Scoring_Model!$Y$2:$Y$300,INDEX(Scoring_Model!$Y$2:$Y$300,MATCH("Yes",Scoring_Model!$U$2:$U$300,0))),"No anchor found"))</f>
        <v/>
      </c>
      <c r="J127" s="2">
        <f>Scoring_Model!W127</f>
        <v/>
      </c>
      <c r="K127">
        <f>IF(Scoring_Model!V127&lt;&gt;"Yes","",IF(F127="High Value Bundle","1 anchor + 1 slow mover",IF(F127="Medium Value Bundle","1 anchor + 2 slow movers","1 anchor + 2 slow movers (aggressive clearout)")))</f>
        <v/>
      </c>
      <c r="L127">
        <f>IF(B127="","",IF(Scoring_Model!V127&lt;&gt;"Yes","Not a slow-mover bundle candidate","Bundle to move slow stock with controlled discount"))</f>
        <v/>
      </c>
    </row>
    <row r="128">
      <c r="A128">
        <f>IF(Scoring_Model!V128&lt;&gt;"Yes","","RB-"&amp;TEXT(COUNTIF(Scoring_Model!$V$2:$V128,"Yes"),"000000"))</f>
        <v/>
      </c>
      <c r="B128">
        <f>Scoring_Model!A128</f>
        <v/>
      </c>
      <c r="C128">
        <f>Scoring_Model!B128</f>
        <v/>
      </c>
      <c r="D128">
        <f>Scoring_Model!C128</f>
        <v/>
      </c>
      <c r="E128">
        <f>Scoring_Model!S128</f>
        <v/>
      </c>
      <c r="F128">
        <f>Scoring_Model!T128</f>
        <v/>
      </c>
      <c r="G128" s="2">
        <f>Scoring_Model!R128</f>
        <v/>
      </c>
      <c r="H128">
        <f>Scoring_Model!P128</f>
        <v/>
      </c>
      <c r="I128">
        <f>IF(Scoring_Model!V128&lt;&gt;"Yes","",IFERROR(XLOOKUP(D128&amp;"|anchor",Scoring_Model!$X$2:$X$300,Scoring_Model!$Y$2:$Y$300,INDEX(Scoring_Model!$Y$2:$Y$300,MATCH("Yes",Scoring_Model!$U$2:$U$300,0))),"No anchor found"))</f>
        <v/>
      </c>
      <c r="J128" s="2">
        <f>Scoring_Model!W128</f>
        <v/>
      </c>
      <c r="K128">
        <f>IF(Scoring_Model!V128&lt;&gt;"Yes","",IF(F128="High Value Bundle","1 anchor + 1 slow mover",IF(F128="Medium Value Bundle","1 anchor + 2 slow movers","1 anchor + 2 slow movers (aggressive clearout)")))</f>
        <v/>
      </c>
      <c r="L128">
        <f>IF(B128="","",IF(Scoring_Model!V128&lt;&gt;"Yes","Not a slow-mover bundle candidate","Bundle to move slow stock with controlled discount"))</f>
        <v/>
      </c>
    </row>
    <row r="129">
      <c r="A129">
        <f>IF(Scoring_Model!V129&lt;&gt;"Yes","","RB-"&amp;TEXT(COUNTIF(Scoring_Model!$V$2:$V129,"Yes"),"000000"))</f>
        <v/>
      </c>
      <c r="B129">
        <f>Scoring_Model!A129</f>
        <v/>
      </c>
      <c r="C129">
        <f>Scoring_Model!B129</f>
        <v/>
      </c>
      <c r="D129">
        <f>Scoring_Model!C129</f>
        <v/>
      </c>
      <c r="E129">
        <f>Scoring_Model!S129</f>
        <v/>
      </c>
      <c r="F129">
        <f>Scoring_Model!T129</f>
        <v/>
      </c>
      <c r="G129" s="2">
        <f>Scoring_Model!R129</f>
        <v/>
      </c>
      <c r="H129">
        <f>Scoring_Model!P129</f>
        <v/>
      </c>
      <c r="I129">
        <f>IF(Scoring_Model!V129&lt;&gt;"Yes","",IFERROR(XLOOKUP(D129&amp;"|anchor",Scoring_Model!$X$2:$X$300,Scoring_Model!$Y$2:$Y$300,INDEX(Scoring_Model!$Y$2:$Y$300,MATCH("Yes",Scoring_Model!$U$2:$U$300,0))),"No anchor found"))</f>
        <v/>
      </c>
      <c r="J129" s="2">
        <f>Scoring_Model!W129</f>
        <v/>
      </c>
      <c r="K129">
        <f>IF(Scoring_Model!V129&lt;&gt;"Yes","",IF(F129="High Value Bundle","1 anchor + 1 slow mover",IF(F129="Medium Value Bundle","1 anchor + 2 slow movers","1 anchor + 2 slow movers (aggressive clearout)")))</f>
        <v/>
      </c>
      <c r="L129">
        <f>IF(B129="","",IF(Scoring_Model!V129&lt;&gt;"Yes","Not a slow-mover bundle candidate","Bundle to move slow stock with controlled discount"))</f>
        <v/>
      </c>
    </row>
    <row r="130">
      <c r="A130">
        <f>IF(Scoring_Model!V130&lt;&gt;"Yes","","RB-"&amp;TEXT(COUNTIF(Scoring_Model!$V$2:$V130,"Yes"),"000000"))</f>
        <v/>
      </c>
      <c r="B130">
        <f>Scoring_Model!A130</f>
        <v/>
      </c>
      <c r="C130">
        <f>Scoring_Model!B130</f>
        <v/>
      </c>
      <c r="D130">
        <f>Scoring_Model!C130</f>
        <v/>
      </c>
      <c r="E130">
        <f>Scoring_Model!S130</f>
        <v/>
      </c>
      <c r="F130">
        <f>Scoring_Model!T130</f>
        <v/>
      </c>
      <c r="G130" s="2">
        <f>Scoring_Model!R130</f>
        <v/>
      </c>
      <c r="H130">
        <f>Scoring_Model!P130</f>
        <v/>
      </c>
      <c r="I130">
        <f>IF(Scoring_Model!V130&lt;&gt;"Yes","",IFERROR(XLOOKUP(D130&amp;"|anchor",Scoring_Model!$X$2:$X$300,Scoring_Model!$Y$2:$Y$300,INDEX(Scoring_Model!$Y$2:$Y$300,MATCH("Yes",Scoring_Model!$U$2:$U$300,0))),"No anchor found"))</f>
        <v/>
      </c>
      <c r="J130" s="2">
        <f>Scoring_Model!W130</f>
        <v/>
      </c>
      <c r="K130">
        <f>IF(Scoring_Model!V130&lt;&gt;"Yes","",IF(F130="High Value Bundle","1 anchor + 1 slow mover",IF(F130="Medium Value Bundle","1 anchor + 2 slow movers","1 anchor + 2 slow movers (aggressive clearout)")))</f>
        <v/>
      </c>
      <c r="L130">
        <f>IF(B130="","",IF(Scoring_Model!V130&lt;&gt;"Yes","Not a slow-mover bundle candidate","Bundle to move slow stock with controlled discount"))</f>
        <v/>
      </c>
    </row>
    <row r="131">
      <c r="A131">
        <f>IF(Scoring_Model!V131&lt;&gt;"Yes","","RB-"&amp;TEXT(COUNTIF(Scoring_Model!$V$2:$V131,"Yes"),"000000"))</f>
        <v/>
      </c>
      <c r="B131">
        <f>Scoring_Model!A131</f>
        <v/>
      </c>
      <c r="C131">
        <f>Scoring_Model!B131</f>
        <v/>
      </c>
      <c r="D131">
        <f>Scoring_Model!C131</f>
        <v/>
      </c>
      <c r="E131">
        <f>Scoring_Model!S131</f>
        <v/>
      </c>
      <c r="F131">
        <f>Scoring_Model!T131</f>
        <v/>
      </c>
      <c r="G131" s="2">
        <f>Scoring_Model!R131</f>
        <v/>
      </c>
      <c r="H131">
        <f>Scoring_Model!P131</f>
        <v/>
      </c>
      <c r="I131">
        <f>IF(Scoring_Model!V131&lt;&gt;"Yes","",IFERROR(XLOOKUP(D131&amp;"|anchor",Scoring_Model!$X$2:$X$300,Scoring_Model!$Y$2:$Y$300,INDEX(Scoring_Model!$Y$2:$Y$300,MATCH("Yes",Scoring_Model!$U$2:$U$300,0))),"No anchor found"))</f>
        <v/>
      </c>
      <c r="J131" s="2">
        <f>Scoring_Model!W131</f>
        <v/>
      </c>
      <c r="K131">
        <f>IF(Scoring_Model!V131&lt;&gt;"Yes","",IF(F131="High Value Bundle","1 anchor + 1 slow mover",IF(F131="Medium Value Bundle","1 anchor + 2 slow movers","1 anchor + 2 slow movers (aggressive clearout)")))</f>
        <v/>
      </c>
      <c r="L131">
        <f>IF(B131="","",IF(Scoring_Model!V131&lt;&gt;"Yes","Not a slow-mover bundle candidate","Bundle to move slow stock with controlled discount"))</f>
        <v/>
      </c>
    </row>
    <row r="132">
      <c r="A132">
        <f>IF(Scoring_Model!V132&lt;&gt;"Yes","","RB-"&amp;TEXT(COUNTIF(Scoring_Model!$V$2:$V132,"Yes"),"000000"))</f>
        <v/>
      </c>
      <c r="B132">
        <f>Scoring_Model!A132</f>
        <v/>
      </c>
      <c r="C132">
        <f>Scoring_Model!B132</f>
        <v/>
      </c>
      <c r="D132">
        <f>Scoring_Model!C132</f>
        <v/>
      </c>
      <c r="E132">
        <f>Scoring_Model!S132</f>
        <v/>
      </c>
      <c r="F132">
        <f>Scoring_Model!T132</f>
        <v/>
      </c>
      <c r="G132" s="2">
        <f>Scoring_Model!R132</f>
        <v/>
      </c>
      <c r="H132">
        <f>Scoring_Model!P132</f>
        <v/>
      </c>
      <c r="I132">
        <f>IF(Scoring_Model!V132&lt;&gt;"Yes","",IFERROR(XLOOKUP(D132&amp;"|anchor",Scoring_Model!$X$2:$X$300,Scoring_Model!$Y$2:$Y$300,INDEX(Scoring_Model!$Y$2:$Y$300,MATCH("Yes",Scoring_Model!$U$2:$U$300,0))),"No anchor found"))</f>
        <v/>
      </c>
      <c r="J132" s="2">
        <f>Scoring_Model!W132</f>
        <v/>
      </c>
      <c r="K132">
        <f>IF(Scoring_Model!V132&lt;&gt;"Yes","",IF(F132="High Value Bundle","1 anchor + 1 slow mover",IF(F132="Medium Value Bundle","1 anchor + 2 slow movers","1 anchor + 2 slow movers (aggressive clearout)")))</f>
        <v/>
      </c>
      <c r="L132">
        <f>IF(B132="","",IF(Scoring_Model!V132&lt;&gt;"Yes","Not a slow-mover bundle candidate","Bundle to move slow stock with controlled discount"))</f>
        <v/>
      </c>
    </row>
    <row r="133">
      <c r="A133">
        <f>IF(Scoring_Model!V133&lt;&gt;"Yes","","RB-"&amp;TEXT(COUNTIF(Scoring_Model!$V$2:$V133,"Yes"),"000000"))</f>
        <v/>
      </c>
      <c r="B133">
        <f>Scoring_Model!A133</f>
        <v/>
      </c>
      <c r="C133">
        <f>Scoring_Model!B133</f>
        <v/>
      </c>
      <c r="D133">
        <f>Scoring_Model!C133</f>
        <v/>
      </c>
      <c r="E133">
        <f>Scoring_Model!S133</f>
        <v/>
      </c>
      <c r="F133">
        <f>Scoring_Model!T133</f>
        <v/>
      </c>
      <c r="G133" s="2">
        <f>Scoring_Model!R133</f>
        <v/>
      </c>
      <c r="H133">
        <f>Scoring_Model!P133</f>
        <v/>
      </c>
      <c r="I133">
        <f>IF(Scoring_Model!V133&lt;&gt;"Yes","",IFERROR(XLOOKUP(D133&amp;"|anchor",Scoring_Model!$X$2:$X$300,Scoring_Model!$Y$2:$Y$300,INDEX(Scoring_Model!$Y$2:$Y$300,MATCH("Yes",Scoring_Model!$U$2:$U$300,0))),"No anchor found"))</f>
        <v/>
      </c>
      <c r="J133" s="2">
        <f>Scoring_Model!W133</f>
        <v/>
      </c>
      <c r="K133">
        <f>IF(Scoring_Model!V133&lt;&gt;"Yes","",IF(F133="High Value Bundle","1 anchor + 1 slow mover",IF(F133="Medium Value Bundle","1 anchor + 2 slow movers","1 anchor + 2 slow movers (aggressive clearout)")))</f>
        <v/>
      </c>
      <c r="L133">
        <f>IF(B133="","",IF(Scoring_Model!V133&lt;&gt;"Yes","Not a slow-mover bundle candidate","Bundle to move slow stock with controlled discount"))</f>
        <v/>
      </c>
    </row>
    <row r="134">
      <c r="A134">
        <f>IF(Scoring_Model!V134&lt;&gt;"Yes","","RB-"&amp;TEXT(COUNTIF(Scoring_Model!$V$2:$V134,"Yes"),"000000"))</f>
        <v/>
      </c>
      <c r="B134">
        <f>Scoring_Model!A134</f>
        <v/>
      </c>
      <c r="C134">
        <f>Scoring_Model!B134</f>
        <v/>
      </c>
      <c r="D134">
        <f>Scoring_Model!C134</f>
        <v/>
      </c>
      <c r="E134">
        <f>Scoring_Model!S134</f>
        <v/>
      </c>
      <c r="F134">
        <f>Scoring_Model!T134</f>
        <v/>
      </c>
      <c r="G134" s="2">
        <f>Scoring_Model!R134</f>
        <v/>
      </c>
      <c r="H134">
        <f>Scoring_Model!P134</f>
        <v/>
      </c>
      <c r="I134">
        <f>IF(Scoring_Model!V134&lt;&gt;"Yes","",IFERROR(XLOOKUP(D134&amp;"|anchor",Scoring_Model!$X$2:$X$300,Scoring_Model!$Y$2:$Y$300,INDEX(Scoring_Model!$Y$2:$Y$300,MATCH("Yes",Scoring_Model!$U$2:$U$300,0))),"No anchor found"))</f>
        <v/>
      </c>
      <c r="J134" s="2">
        <f>Scoring_Model!W134</f>
        <v/>
      </c>
      <c r="K134">
        <f>IF(Scoring_Model!V134&lt;&gt;"Yes","",IF(F134="High Value Bundle","1 anchor + 1 slow mover",IF(F134="Medium Value Bundle","1 anchor + 2 slow movers","1 anchor + 2 slow movers (aggressive clearout)")))</f>
        <v/>
      </c>
      <c r="L134">
        <f>IF(B134="","",IF(Scoring_Model!V134&lt;&gt;"Yes","Not a slow-mover bundle candidate","Bundle to move slow stock with controlled discount"))</f>
        <v/>
      </c>
    </row>
    <row r="135">
      <c r="A135">
        <f>IF(Scoring_Model!V135&lt;&gt;"Yes","","RB-"&amp;TEXT(COUNTIF(Scoring_Model!$V$2:$V135,"Yes"),"000000"))</f>
        <v/>
      </c>
      <c r="B135">
        <f>Scoring_Model!A135</f>
        <v/>
      </c>
      <c r="C135">
        <f>Scoring_Model!B135</f>
        <v/>
      </c>
      <c r="D135">
        <f>Scoring_Model!C135</f>
        <v/>
      </c>
      <c r="E135">
        <f>Scoring_Model!S135</f>
        <v/>
      </c>
      <c r="F135">
        <f>Scoring_Model!T135</f>
        <v/>
      </c>
      <c r="G135" s="2">
        <f>Scoring_Model!R135</f>
        <v/>
      </c>
      <c r="H135">
        <f>Scoring_Model!P135</f>
        <v/>
      </c>
      <c r="I135">
        <f>IF(Scoring_Model!V135&lt;&gt;"Yes","",IFERROR(XLOOKUP(D135&amp;"|anchor",Scoring_Model!$X$2:$X$300,Scoring_Model!$Y$2:$Y$300,INDEX(Scoring_Model!$Y$2:$Y$300,MATCH("Yes",Scoring_Model!$U$2:$U$300,0))),"No anchor found"))</f>
        <v/>
      </c>
      <c r="J135" s="2">
        <f>Scoring_Model!W135</f>
        <v/>
      </c>
      <c r="K135">
        <f>IF(Scoring_Model!V135&lt;&gt;"Yes","",IF(F135="High Value Bundle","1 anchor + 1 slow mover",IF(F135="Medium Value Bundle","1 anchor + 2 slow movers","1 anchor + 2 slow movers (aggressive clearout)")))</f>
        <v/>
      </c>
      <c r="L135">
        <f>IF(B135="","",IF(Scoring_Model!V135&lt;&gt;"Yes","Not a slow-mover bundle candidate","Bundle to move slow stock with controlled discount"))</f>
        <v/>
      </c>
    </row>
    <row r="136">
      <c r="A136">
        <f>IF(Scoring_Model!V136&lt;&gt;"Yes","","RB-"&amp;TEXT(COUNTIF(Scoring_Model!$V$2:$V136,"Yes"),"000000"))</f>
        <v/>
      </c>
      <c r="B136">
        <f>Scoring_Model!A136</f>
        <v/>
      </c>
      <c r="C136">
        <f>Scoring_Model!B136</f>
        <v/>
      </c>
      <c r="D136">
        <f>Scoring_Model!C136</f>
        <v/>
      </c>
      <c r="E136">
        <f>Scoring_Model!S136</f>
        <v/>
      </c>
      <c r="F136">
        <f>Scoring_Model!T136</f>
        <v/>
      </c>
      <c r="G136" s="2">
        <f>Scoring_Model!R136</f>
        <v/>
      </c>
      <c r="H136">
        <f>Scoring_Model!P136</f>
        <v/>
      </c>
      <c r="I136">
        <f>IF(Scoring_Model!V136&lt;&gt;"Yes","",IFERROR(XLOOKUP(D136&amp;"|anchor",Scoring_Model!$X$2:$X$300,Scoring_Model!$Y$2:$Y$300,INDEX(Scoring_Model!$Y$2:$Y$300,MATCH("Yes",Scoring_Model!$U$2:$U$300,0))),"No anchor found"))</f>
        <v/>
      </c>
      <c r="J136" s="2">
        <f>Scoring_Model!W136</f>
        <v/>
      </c>
      <c r="K136">
        <f>IF(Scoring_Model!V136&lt;&gt;"Yes","",IF(F136="High Value Bundle","1 anchor + 1 slow mover",IF(F136="Medium Value Bundle","1 anchor + 2 slow movers","1 anchor + 2 slow movers (aggressive clearout)")))</f>
        <v/>
      </c>
      <c r="L136">
        <f>IF(B136="","",IF(Scoring_Model!V136&lt;&gt;"Yes","Not a slow-mover bundle candidate","Bundle to move slow stock with controlled discount"))</f>
        <v/>
      </c>
    </row>
    <row r="137">
      <c r="A137">
        <f>IF(Scoring_Model!V137&lt;&gt;"Yes","","RB-"&amp;TEXT(COUNTIF(Scoring_Model!$V$2:$V137,"Yes"),"000000"))</f>
        <v/>
      </c>
      <c r="B137">
        <f>Scoring_Model!A137</f>
        <v/>
      </c>
      <c r="C137">
        <f>Scoring_Model!B137</f>
        <v/>
      </c>
      <c r="D137">
        <f>Scoring_Model!C137</f>
        <v/>
      </c>
      <c r="E137">
        <f>Scoring_Model!S137</f>
        <v/>
      </c>
      <c r="F137">
        <f>Scoring_Model!T137</f>
        <v/>
      </c>
      <c r="G137" s="2">
        <f>Scoring_Model!R137</f>
        <v/>
      </c>
      <c r="H137">
        <f>Scoring_Model!P137</f>
        <v/>
      </c>
      <c r="I137">
        <f>IF(Scoring_Model!V137&lt;&gt;"Yes","",IFERROR(XLOOKUP(D137&amp;"|anchor",Scoring_Model!$X$2:$X$300,Scoring_Model!$Y$2:$Y$300,INDEX(Scoring_Model!$Y$2:$Y$300,MATCH("Yes",Scoring_Model!$U$2:$U$300,0))),"No anchor found"))</f>
        <v/>
      </c>
      <c r="J137" s="2">
        <f>Scoring_Model!W137</f>
        <v/>
      </c>
      <c r="K137">
        <f>IF(Scoring_Model!V137&lt;&gt;"Yes","",IF(F137="High Value Bundle","1 anchor + 1 slow mover",IF(F137="Medium Value Bundle","1 anchor + 2 slow movers","1 anchor + 2 slow movers (aggressive clearout)")))</f>
        <v/>
      </c>
      <c r="L137">
        <f>IF(B137="","",IF(Scoring_Model!V137&lt;&gt;"Yes","Not a slow-mover bundle candidate","Bundle to move slow stock with controlled discount"))</f>
        <v/>
      </c>
    </row>
    <row r="138">
      <c r="A138">
        <f>IF(Scoring_Model!V138&lt;&gt;"Yes","","RB-"&amp;TEXT(COUNTIF(Scoring_Model!$V$2:$V138,"Yes"),"000000"))</f>
        <v/>
      </c>
      <c r="B138">
        <f>Scoring_Model!A138</f>
        <v/>
      </c>
      <c r="C138">
        <f>Scoring_Model!B138</f>
        <v/>
      </c>
      <c r="D138">
        <f>Scoring_Model!C138</f>
        <v/>
      </c>
      <c r="E138">
        <f>Scoring_Model!S138</f>
        <v/>
      </c>
      <c r="F138">
        <f>Scoring_Model!T138</f>
        <v/>
      </c>
      <c r="G138" s="2">
        <f>Scoring_Model!R138</f>
        <v/>
      </c>
      <c r="H138">
        <f>Scoring_Model!P138</f>
        <v/>
      </c>
      <c r="I138">
        <f>IF(Scoring_Model!V138&lt;&gt;"Yes","",IFERROR(XLOOKUP(D138&amp;"|anchor",Scoring_Model!$X$2:$X$300,Scoring_Model!$Y$2:$Y$300,INDEX(Scoring_Model!$Y$2:$Y$300,MATCH("Yes",Scoring_Model!$U$2:$U$300,0))),"No anchor found"))</f>
        <v/>
      </c>
      <c r="J138" s="2">
        <f>Scoring_Model!W138</f>
        <v/>
      </c>
      <c r="K138">
        <f>IF(Scoring_Model!V138&lt;&gt;"Yes","",IF(F138="High Value Bundle","1 anchor + 1 slow mover",IF(F138="Medium Value Bundle","1 anchor + 2 slow movers","1 anchor + 2 slow movers (aggressive clearout)")))</f>
        <v/>
      </c>
      <c r="L138">
        <f>IF(B138="","",IF(Scoring_Model!V138&lt;&gt;"Yes","Not a slow-mover bundle candidate","Bundle to move slow stock with controlled discount"))</f>
        <v/>
      </c>
    </row>
    <row r="139">
      <c r="A139">
        <f>IF(Scoring_Model!V139&lt;&gt;"Yes","","RB-"&amp;TEXT(COUNTIF(Scoring_Model!$V$2:$V139,"Yes"),"000000"))</f>
        <v/>
      </c>
      <c r="B139">
        <f>Scoring_Model!A139</f>
        <v/>
      </c>
      <c r="C139">
        <f>Scoring_Model!B139</f>
        <v/>
      </c>
      <c r="D139">
        <f>Scoring_Model!C139</f>
        <v/>
      </c>
      <c r="E139">
        <f>Scoring_Model!S139</f>
        <v/>
      </c>
      <c r="F139">
        <f>Scoring_Model!T139</f>
        <v/>
      </c>
      <c r="G139" s="2">
        <f>Scoring_Model!R139</f>
        <v/>
      </c>
      <c r="H139">
        <f>Scoring_Model!P139</f>
        <v/>
      </c>
      <c r="I139">
        <f>IF(Scoring_Model!V139&lt;&gt;"Yes","",IFERROR(XLOOKUP(D139&amp;"|anchor",Scoring_Model!$X$2:$X$300,Scoring_Model!$Y$2:$Y$300,INDEX(Scoring_Model!$Y$2:$Y$300,MATCH("Yes",Scoring_Model!$U$2:$U$300,0))),"No anchor found"))</f>
        <v/>
      </c>
      <c r="J139" s="2">
        <f>Scoring_Model!W139</f>
        <v/>
      </c>
      <c r="K139">
        <f>IF(Scoring_Model!V139&lt;&gt;"Yes","",IF(F139="High Value Bundle","1 anchor + 1 slow mover",IF(F139="Medium Value Bundle","1 anchor + 2 slow movers","1 anchor + 2 slow movers (aggressive clearout)")))</f>
        <v/>
      </c>
      <c r="L139">
        <f>IF(B139="","",IF(Scoring_Model!V139&lt;&gt;"Yes","Not a slow-mover bundle candidate","Bundle to move slow stock with controlled discount"))</f>
        <v/>
      </c>
    </row>
    <row r="140">
      <c r="A140">
        <f>IF(Scoring_Model!V140&lt;&gt;"Yes","","RB-"&amp;TEXT(COUNTIF(Scoring_Model!$V$2:$V140,"Yes"),"000000"))</f>
        <v/>
      </c>
      <c r="B140">
        <f>Scoring_Model!A140</f>
        <v/>
      </c>
      <c r="C140">
        <f>Scoring_Model!B140</f>
        <v/>
      </c>
      <c r="D140">
        <f>Scoring_Model!C140</f>
        <v/>
      </c>
      <c r="E140">
        <f>Scoring_Model!S140</f>
        <v/>
      </c>
      <c r="F140">
        <f>Scoring_Model!T140</f>
        <v/>
      </c>
      <c r="G140" s="2">
        <f>Scoring_Model!R140</f>
        <v/>
      </c>
      <c r="H140">
        <f>Scoring_Model!P140</f>
        <v/>
      </c>
      <c r="I140">
        <f>IF(Scoring_Model!V140&lt;&gt;"Yes","",IFERROR(XLOOKUP(D140&amp;"|anchor",Scoring_Model!$X$2:$X$300,Scoring_Model!$Y$2:$Y$300,INDEX(Scoring_Model!$Y$2:$Y$300,MATCH("Yes",Scoring_Model!$U$2:$U$300,0))),"No anchor found"))</f>
        <v/>
      </c>
      <c r="J140" s="2">
        <f>Scoring_Model!W140</f>
        <v/>
      </c>
      <c r="K140">
        <f>IF(Scoring_Model!V140&lt;&gt;"Yes","",IF(F140="High Value Bundle","1 anchor + 1 slow mover",IF(F140="Medium Value Bundle","1 anchor + 2 slow movers","1 anchor + 2 slow movers (aggressive clearout)")))</f>
        <v/>
      </c>
      <c r="L140">
        <f>IF(B140="","",IF(Scoring_Model!V140&lt;&gt;"Yes","Not a slow-mover bundle candidate","Bundle to move slow stock with controlled discount"))</f>
        <v/>
      </c>
    </row>
    <row r="141">
      <c r="A141">
        <f>IF(Scoring_Model!V141&lt;&gt;"Yes","","RB-"&amp;TEXT(COUNTIF(Scoring_Model!$V$2:$V141,"Yes"),"000000"))</f>
        <v/>
      </c>
      <c r="B141">
        <f>Scoring_Model!A141</f>
        <v/>
      </c>
      <c r="C141">
        <f>Scoring_Model!B141</f>
        <v/>
      </c>
      <c r="D141">
        <f>Scoring_Model!C141</f>
        <v/>
      </c>
      <c r="E141">
        <f>Scoring_Model!S141</f>
        <v/>
      </c>
      <c r="F141">
        <f>Scoring_Model!T141</f>
        <v/>
      </c>
      <c r="G141" s="2">
        <f>Scoring_Model!R141</f>
        <v/>
      </c>
      <c r="H141">
        <f>Scoring_Model!P141</f>
        <v/>
      </c>
      <c r="I141">
        <f>IF(Scoring_Model!V141&lt;&gt;"Yes","",IFERROR(XLOOKUP(D141&amp;"|anchor",Scoring_Model!$X$2:$X$300,Scoring_Model!$Y$2:$Y$300,INDEX(Scoring_Model!$Y$2:$Y$300,MATCH("Yes",Scoring_Model!$U$2:$U$300,0))),"No anchor found"))</f>
        <v/>
      </c>
      <c r="J141" s="2">
        <f>Scoring_Model!W141</f>
        <v/>
      </c>
      <c r="K141">
        <f>IF(Scoring_Model!V141&lt;&gt;"Yes","",IF(F141="High Value Bundle","1 anchor + 1 slow mover",IF(F141="Medium Value Bundle","1 anchor + 2 slow movers","1 anchor + 2 slow movers (aggressive clearout)")))</f>
        <v/>
      </c>
      <c r="L141">
        <f>IF(B141="","",IF(Scoring_Model!V141&lt;&gt;"Yes","Not a slow-mover bundle candidate","Bundle to move slow stock with controlled discount"))</f>
        <v/>
      </c>
    </row>
    <row r="142">
      <c r="A142">
        <f>IF(Scoring_Model!V142&lt;&gt;"Yes","","RB-"&amp;TEXT(COUNTIF(Scoring_Model!$V$2:$V142,"Yes"),"000000"))</f>
        <v/>
      </c>
      <c r="B142">
        <f>Scoring_Model!A142</f>
        <v/>
      </c>
      <c r="C142">
        <f>Scoring_Model!B142</f>
        <v/>
      </c>
      <c r="D142">
        <f>Scoring_Model!C142</f>
        <v/>
      </c>
      <c r="E142">
        <f>Scoring_Model!S142</f>
        <v/>
      </c>
      <c r="F142">
        <f>Scoring_Model!T142</f>
        <v/>
      </c>
      <c r="G142" s="2">
        <f>Scoring_Model!R142</f>
        <v/>
      </c>
      <c r="H142">
        <f>Scoring_Model!P142</f>
        <v/>
      </c>
      <c r="I142">
        <f>IF(Scoring_Model!V142&lt;&gt;"Yes","",IFERROR(XLOOKUP(D142&amp;"|anchor",Scoring_Model!$X$2:$X$300,Scoring_Model!$Y$2:$Y$300,INDEX(Scoring_Model!$Y$2:$Y$300,MATCH("Yes",Scoring_Model!$U$2:$U$300,0))),"No anchor found"))</f>
        <v/>
      </c>
      <c r="J142" s="2">
        <f>Scoring_Model!W142</f>
        <v/>
      </c>
      <c r="K142">
        <f>IF(Scoring_Model!V142&lt;&gt;"Yes","",IF(F142="High Value Bundle","1 anchor + 1 slow mover",IF(F142="Medium Value Bundle","1 anchor + 2 slow movers","1 anchor + 2 slow movers (aggressive clearout)")))</f>
        <v/>
      </c>
      <c r="L142">
        <f>IF(B142="","",IF(Scoring_Model!V142&lt;&gt;"Yes","Not a slow-mover bundle candidate","Bundle to move slow stock with controlled discount"))</f>
        <v/>
      </c>
    </row>
    <row r="143">
      <c r="A143">
        <f>IF(Scoring_Model!V143&lt;&gt;"Yes","","RB-"&amp;TEXT(COUNTIF(Scoring_Model!$V$2:$V143,"Yes"),"000000"))</f>
        <v/>
      </c>
      <c r="B143">
        <f>Scoring_Model!A143</f>
        <v/>
      </c>
      <c r="C143">
        <f>Scoring_Model!B143</f>
        <v/>
      </c>
      <c r="D143">
        <f>Scoring_Model!C143</f>
        <v/>
      </c>
      <c r="E143">
        <f>Scoring_Model!S143</f>
        <v/>
      </c>
      <c r="F143">
        <f>Scoring_Model!T143</f>
        <v/>
      </c>
      <c r="G143" s="2">
        <f>Scoring_Model!R143</f>
        <v/>
      </c>
      <c r="H143">
        <f>Scoring_Model!P143</f>
        <v/>
      </c>
      <c r="I143">
        <f>IF(Scoring_Model!V143&lt;&gt;"Yes","",IFERROR(XLOOKUP(D143&amp;"|anchor",Scoring_Model!$X$2:$X$300,Scoring_Model!$Y$2:$Y$300,INDEX(Scoring_Model!$Y$2:$Y$300,MATCH("Yes",Scoring_Model!$U$2:$U$300,0))),"No anchor found"))</f>
        <v/>
      </c>
      <c r="J143" s="2">
        <f>Scoring_Model!W143</f>
        <v/>
      </c>
      <c r="K143">
        <f>IF(Scoring_Model!V143&lt;&gt;"Yes","",IF(F143="High Value Bundle","1 anchor + 1 slow mover",IF(F143="Medium Value Bundle","1 anchor + 2 slow movers","1 anchor + 2 slow movers (aggressive clearout)")))</f>
        <v/>
      </c>
      <c r="L143">
        <f>IF(B143="","",IF(Scoring_Model!V143&lt;&gt;"Yes","Not a slow-mover bundle candidate","Bundle to move slow stock with controlled discount"))</f>
        <v/>
      </c>
    </row>
    <row r="144">
      <c r="A144">
        <f>IF(Scoring_Model!V144&lt;&gt;"Yes","","RB-"&amp;TEXT(COUNTIF(Scoring_Model!$V$2:$V144,"Yes"),"000000"))</f>
        <v/>
      </c>
      <c r="B144">
        <f>Scoring_Model!A144</f>
        <v/>
      </c>
      <c r="C144">
        <f>Scoring_Model!B144</f>
        <v/>
      </c>
      <c r="D144">
        <f>Scoring_Model!C144</f>
        <v/>
      </c>
      <c r="E144">
        <f>Scoring_Model!S144</f>
        <v/>
      </c>
      <c r="F144">
        <f>Scoring_Model!T144</f>
        <v/>
      </c>
      <c r="G144" s="2">
        <f>Scoring_Model!R144</f>
        <v/>
      </c>
      <c r="H144">
        <f>Scoring_Model!P144</f>
        <v/>
      </c>
      <c r="I144">
        <f>IF(Scoring_Model!V144&lt;&gt;"Yes","",IFERROR(XLOOKUP(D144&amp;"|anchor",Scoring_Model!$X$2:$X$300,Scoring_Model!$Y$2:$Y$300,INDEX(Scoring_Model!$Y$2:$Y$300,MATCH("Yes",Scoring_Model!$U$2:$U$300,0))),"No anchor found"))</f>
        <v/>
      </c>
      <c r="J144" s="2">
        <f>Scoring_Model!W144</f>
        <v/>
      </c>
      <c r="K144">
        <f>IF(Scoring_Model!V144&lt;&gt;"Yes","",IF(F144="High Value Bundle","1 anchor + 1 slow mover",IF(F144="Medium Value Bundle","1 anchor + 2 slow movers","1 anchor + 2 slow movers (aggressive clearout)")))</f>
        <v/>
      </c>
      <c r="L144">
        <f>IF(B144="","",IF(Scoring_Model!V144&lt;&gt;"Yes","Not a slow-mover bundle candidate","Bundle to move slow stock with controlled discount"))</f>
        <v/>
      </c>
    </row>
    <row r="145">
      <c r="A145">
        <f>IF(Scoring_Model!V145&lt;&gt;"Yes","","RB-"&amp;TEXT(COUNTIF(Scoring_Model!$V$2:$V145,"Yes"),"000000"))</f>
        <v/>
      </c>
      <c r="B145">
        <f>Scoring_Model!A145</f>
        <v/>
      </c>
      <c r="C145">
        <f>Scoring_Model!B145</f>
        <v/>
      </c>
      <c r="D145">
        <f>Scoring_Model!C145</f>
        <v/>
      </c>
      <c r="E145">
        <f>Scoring_Model!S145</f>
        <v/>
      </c>
      <c r="F145">
        <f>Scoring_Model!T145</f>
        <v/>
      </c>
      <c r="G145" s="2">
        <f>Scoring_Model!R145</f>
        <v/>
      </c>
      <c r="H145">
        <f>Scoring_Model!P145</f>
        <v/>
      </c>
      <c r="I145">
        <f>IF(Scoring_Model!V145&lt;&gt;"Yes","",IFERROR(XLOOKUP(D145&amp;"|anchor",Scoring_Model!$X$2:$X$300,Scoring_Model!$Y$2:$Y$300,INDEX(Scoring_Model!$Y$2:$Y$300,MATCH("Yes",Scoring_Model!$U$2:$U$300,0))),"No anchor found"))</f>
        <v/>
      </c>
      <c r="J145" s="2">
        <f>Scoring_Model!W145</f>
        <v/>
      </c>
      <c r="K145">
        <f>IF(Scoring_Model!V145&lt;&gt;"Yes","",IF(F145="High Value Bundle","1 anchor + 1 slow mover",IF(F145="Medium Value Bundle","1 anchor + 2 slow movers","1 anchor + 2 slow movers (aggressive clearout)")))</f>
        <v/>
      </c>
      <c r="L145">
        <f>IF(B145="","",IF(Scoring_Model!V145&lt;&gt;"Yes","Not a slow-mover bundle candidate","Bundle to move slow stock with controlled discount"))</f>
        <v/>
      </c>
    </row>
    <row r="146">
      <c r="A146">
        <f>IF(Scoring_Model!V146&lt;&gt;"Yes","","RB-"&amp;TEXT(COUNTIF(Scoring_Model!$V$2:$V146,"Yes"),"000000"))</f>
        <v/>
      </c>
      <c r="B146">
        <f>Scoring_Model!A146</f>
        <v/>
      </c>
      <c r="C146">
        <f>Scoring_Model!B146</f>
        <v/>
      </c>
      <c r="D146">
        <f>Scoring_Model!C146</f>
        <v/>
      </c>
      <c r="E146">
        <f>Scoring_Model!S146</f>
        <v/>
      </c>
      <c r="F146">
        <f>Scoring_Model!T146</f>
        <v/>
      </c>
      <c r="G146" s="2">
        <f>Scoring_Model!R146</f>
        <v/>
      </c>
      <c r="H146">
        <f>Scoring_Model!P146</f>
        <v/>
      </c>
      <c r="I146">
        <f>IF(Scoring_Model!V146&lt;&gt;"Yes","",IFERROR(XLOOKUP(D146&amp;"|anchor",Scoring_Model!$X$2:$X$300,Scoring_Model!$Y$2:$Y$300,INDEX(Scoring_Model!$Y$2:$Y$300,MATCH("Yes",Scoring_Model!$U$2:$U$300,0))),"No anchor found"))</f>
        <v/>
      </c>
      <c r="J146" s="2">
        <f>Scoring_Model!W146</f>
        <v/>
      </c>
      <c r="K146">
        <f>IF(Scoring_Model!V146&lt;&gt;"Yes","",IF(F146="High Value Bundle","1 anchor + 1 slow mover",IF(F146="Medium Value Bundle","1 anchor + 2 slow movers","1 anchor + 2 slow movers (aggressive clearout)")))</f>
        <v/>
      </c>
      <c r="L146">
        <f>IF(B146="","",IF(Scoring_Model!V146&lt;&gt;"Yes","Not a slow-mover bundle candidate","Bundle to move slow stock with controlled discount"))</f>
        <v/>
      </c>
    </row>
    <row r="147">
      <c r="A147">
        <f>IF(Scoring_Model!V147&lt;&gt;"Yes","","RB-"&amp;TEXT(COUNTIF(Scoring_Model!$V$2:$V147,"Yes"),"000000"))</f>
        <v/>
      </c>
      <c r="B147">
        <f>Scoring_Model!A147</f>
        <v/>
      </c>
      <c r="C147">
        <f>Scoring_Model!B147</f>
        <v/>
      </c>
      <c r="D147">
        <f>Scoring_Model!C147</f>
        <v/>
      </c>
      <c r="E147">
        <f>Scoring_Model!S147</f>
        <v/>
      </c>
      <c r="F147">
        <f>Scoring_Model!T147</f>
        <v/>
      </c>
      <c r="G147" s="2">
        <f>Scoring_Model!R147</f>
        <v/>
      </c>
      <c r="H147">
        <f>Scoring_Model!P147</f>
        <v/>
      </c>
      <c r="I147">
        <f>IF(Scoring_Model!V147&lt;&gt;"Yes","",IFERROR(XLOOKUP(D147&amp;"|anchor",Scoring_Model!$X$2:$X$300,Scoring_Model!$Y$2:$Y$300,INDEX(Scoring_Model!$Y$2:$Y$300,MATCH("Yes",Scoring_Model!$U$2:$U$300,0))),"No anchor found"))</f>
        <v/>
      </c>
      <c r="J147" s="2">
        <f>Scoring_Model!W147</f>
        <v/>
      </c>
      <c r="K147">
        <f>IF(Scoring_Model!V147&lt;&gt;"Yes","",IF(F147="High Value Bundle","1 anchor + 1 slow mover",IF(F147="Medium Value Bundle","1 anchor + 2 slow movers","1 anchor + 2 slow movers (aggressive clearout)")))</f>
        <v/>
      </c>
      <c r="L147">
        <f>IF(B147="","",IF(Scoring_Model!V147&lt;&gt;"Yes","Not a slow-mover bundle candidate","Bundle to move slow stock with controlled discount"))</f>
        <v/>
      </c>
    </row>
    <row r="148">
      <c r="A148">
        <f>IF(Scoring_Model!V148&lt;&gt;"Yes","","RB-"&amp;TEXT(COUNTIF(Scoring_Model!$V$2:$V148,"Yes"),"000000"))</f>
        <v/>
      </c>
      <c r="B148">
        <f>Scoring_Model!A148</f>
        <v/>
      </c>
      <c r="C148">
        <f>Scoring_Model!B148</f>
        <v/>
      </c>
      <c r="D148">
        <f>Scoring_Model!C148</f>
        <v/>
      </c>
      <c r="E148">
        <f>Scoring_Model!S148</f>
        <v/>
      </c>
      <c r="F148">
        <f>Scoring_Model!T148</f>
        <v/>
      </c>
      <c r="G148" s="2">
        <f>Scoring_Model!R148</f>
        <v/>
      </c>
      <c r="H148">
        <f>Scoring_Model!P148</f>
        <v/>
      </c>
      <c r="I148">
        <f>IF(Scoring_Model!V148&lt;&gt;"Yes","",IFERROR(XLOOKUP(D148&amp;"|anchor",Scoring_Model!$X$2:$X$300,Scoring_Model!$Y$2:$Y$300,INDEX(Scoring_Model!$Y$2:$Y$300,MATCH("Yes",Scoring_Model!$U$2:$U$300,0))),"No anchor found"))</f>
        <v/>
      </c>
      <c r="J148" s="2">
        <f>Scoring_Model!W148</f>
        <v/>
      </c>
      <c r="K148">
        <f>IF(Scoring_Model!V148&lt;&gt;"Yes","",IF(F148="High Value Bundle","1 anchor + 1 slow mover",IF(F148="Medium Value Bundle","1 anchor + 2 slow movers","1 anchor + 2 slow movers (aggressive clearout)")))</f>
        <v/>
      </c>
      <c r="L148">
        <f>IF(B148="","",IF(Scoring_Model!V148&lt;&gt;"Yes","Not a slow-mover bundle candidate","Bundle to move slow stock with controlled discount"))</f>
        <v/>
      </c>
    </row>
    <row r="149">
      <c r="A149">
        <f>IF(Scoring_Model!V149&lt;&gt;"Yes","","RB-"&amp;TEXT(COUNTIF(Scoring_Model!$V$2:$V149,"Yes"),"000000"))</f>
        <v/>
      </c>
      <c r="B149">
        <f>Scoring_Model!A149</f>
        <v/>
      </c>
      <c r="C149">
        <f>Scoring_Model!B149</f>
        <v/>
      </c>
      <c r="D149">
        <f>Scoring_Model!C149</f>
        <v/>
      </c>
      <c r="E149">
        <f>Scoring_Model!S149</f>
        <v/>
      </c>
      <c r="F149">
        <f>Scoring_Model!T149</f>
        <v/>
      </c>
      <c r="G149" s="2">
        <f>Scoring_Model!R149</f>
        <v/>
      </c>
      <c r="H149">
        <f>Scoring_Model!P149</f>
        <v/>
      </c>
      <c r="I149">
        <f>IF(Scoring_Model!V149&lt;&gt;"Yes","",IFERROR(XLOOKUP(D149&amp;"|anchor",Scoring_Model!$X$2:$X$300,Scoring_Model!$Y$2:$Y$300,INDEX(Scoring_Model!$Y$2:$Y$300,MATCH("Yes",Scoring_Model!$U$2:$U$300,0))),"No anchor found"))</f>
        <v/>
      </c>
      <c r="J149" s="2">
        <f>Scoring_Model!W149</f>
        <v/>
      </c>
      <c r="K149">
        <f>IF(Scoring_Model!V149&lt;&gt;"Yes","",IF(F149="High Value Bundle","1 anchor + 1 slow mover",IF(F149="Medium Value Bundle","1 anchor + 2 slow movers","1 anchor + 2 slow movers (aggressive clearout)")))</f>
        <v/>
      </c>
      <c r="L149">
        <f>IF(B149="","",IF(Scoring_Model!V149&lt;&gt;"Yes","Not a slow-mover bundle candidate","Bundle to move slow stock with controlled discount"))</f>
        <v/>
      </c>
    </row>
    <row r="150">
      <c r="A150">
        <f>IF(Scoring_Model!V150&lt;&gt;"Yes","","RB-"&amp;TEXT(COUNTIF(Scoring_Model!$V$2:$V150,"Yes"),"000000"))</f>
        <v/>
      </c>
      <c r="B150">
        <f>Scoring_Model!A150</f>
        <v/>
      </c>
      <c r="C150">
        <f>Scoring_Model!B150</f>
        <v/>
      </c>
      <c r="D150">
        <f>Scoring_Model!C150</f>
        <v/>
      </c>
      <c r="E150">
        <f>Scoring_Model!S150</f>
        <v/>
      </c>
      <c r="F150">
        <f>Scoring_Model!T150</f>
        <v/>
      </c>
      <c r="G150" s="2">
        <f>Scoring_Model!R150</f>
        <v/>
      </c>
      <c r="H150">
        <f>Scoring_Model!P150</f>
        <v/>
      </c>
      <c r="I150">
        <f>IF(Scoring_Model!V150&lt;&gt;"Yes","",IFERROR(XLOOKUP(D150&amp;"|anchor",Scoring_Model!$X$2:$X$300,Scoring_Model!$Y$2:$Y$300,INDEX(Scoring_Model!$Y$2:$Y$300,MATCH("Yes",Scoring_Model!$U$2:$U$300,0))),"No anchor found"))</f>
        <v/>
      </c>
      <c r="J150" s="2">
        <f>Scoring_Model!W150</f>
        <v/>
      </c>
      <c r="K150">
        <f>IF(Scoring_Model!V150&lt;&gt;"Yes","",IF(F150="High Value Bundle","1 anchor + 1 slow mover",IF(F150="Medium Value Bundle","1 anchor + 2 slow movers","1 anchor + 2 slow movers (aggressive clearout)")))</f>
        <v/>
      </c>
      <c r="L150">
        <f>IF(B150="","",IF(Scoring_Model!V150&lt;&gt;"Yes","Not a slow-mover bundle candidate","Bundle to move slow stock with controlled discount"))</f>
        <v/>
      </c>
    </row>
    <row r="151">
      <c r="A151">
        <f>IF(Scoring_Model!V151&lt;&gt;"Yes","","RB-"&amp;TEXT(COUNTIF(Scoring_Model!$V$2:$V151,"Yes"),"000000"))</f>
        <v/>
      </c>
      <c r="B151">
        <f>Scoring_Model!A151</f>
        <v/>
      </c>
      <c r="C151">
        <f>Scoring_Model!B151</f>
        <v/>
      </c>
      <c r="D151">
        <f>Scoring_Model!C151</f>
        <v/>
      </c>
      <c r="E151">
        <f>Scoring_Model!S151</f>
        <v/>
      </c>
      <c r="F151">
        <f>Scoring_Model!T151</f>
        <v/>
      </c>
      <c r="G151" s="2">
        <f>Scoring_Model!R151</f>
        <v/>
      </c>
      <c r="H151">
        <f>Scoring_Model!P151</f>
        <v/>
      </c>
      <c r="I151">
        <f>IF(Scoring_Model!V151&lt;&gt;"Yes","",IFERROR(XLOOKUP(D151&amp;"|anchor",Scoring_Model!$X$2:$X$300,Scoring_Model!$Y$2:$Y$300,INDEX(Scoring_Model!$Y$2:$Y$300,MATCH("Yes",Scoring_Model!$U$2:$U$300,0))),"No anchor found"))</f>
        <v/>
      </c>
      <c r="J151" s="2">
        <f>Scoring_Model!W151</f>
        <v/>
      </c>
      <c r="K151">
        <f>IF(Scoring_Model!V151&lt;&gt;"Yes","",IF(F151="High Value Bundle","1 anchor + 1 slow mover",IF(F151="Medium Value Bundle","1 anchor + 2 slow movers","1 anchor + 2 slow movers (aggressive clearout)")))</f>
        <v/>
      </c>
      <c r="L151">
        <f>IF(B151="","",IF(Scoring_Model!V151&lt;&gt;"Yes","Not a slow-mover bundle candidate","Bundle to move slow stock with controlled discount"))</f>
        <v/>
      </c>
    </row>
    <row r="152">
      <c r="A152">
        <f>IF(Scoring_Model!V152&lt;&gt;"Yes","","RB-"&amp;TEXT(COUNTIF(Scoring_Model!$V$2:$V152,"Yes"),"000000"))</f>
        <v/>
      </c>
      <c r="B152">
        <f>Scoring_Model!A152</f>
        <v/>
      </c>
      <c r="C152">
        <f>Scoring_Model!B152</f>
        <v/>
      </c>
      <c r="D152">
        <f>Scoring_Model!C152</f>
        <v/>
      </c>
      <c r="E152">
        <f>Scoring_Model!S152</f>
        <v/>
      </c>
      <c r="F152">
        <f>Scoring_Model!T152</f>
        <v/>
      </c>
      <c r="G152" s="2">
        <f>Scoring_Model!R152</f>
        <v/>
      </c>
      <c r="H152">
        <f>Scoring_Model!P152</f>
        <v/>
      </c>
      <c r="I152">
        <f>IF(Scoring_Model!V152&lt;&gt;"Yes","",IFERROR(XLOOKUP(D152&amp;"|anchor",Scoring_Model!$X$2:$X$300,Scoring_Model!$Y$2:$Y$300,INDEX(Scoring_Model!$Y$2:$Y$300,MATCH("Yes",Scoring_Model!$U$2:$U$300,0))),"No anchor found"))</f>
        <v/>
      </c>
      <c r="J152" s="2">
        <f>Scoring_Model!W152</f>
        <v/>
      </c>
      <c r="K152">
        <f>IF(Scoring_Model!V152&lt;&gt;"Yes","",IF(F152="High Value Bundle","1 anchor + 1 slow mover",IF(F152="Medium Value Bundle","1 anchor + 2 slow movers","1 anchor + 2 slow movers (aggressive clearout)")))</f>
        <v/>
      </c>
      <c r="L152">
        <f>IF(B152="","",IF(Scoring_Model!V152&lt;&gt;"Yes","Not a slow-mover bundle candidate","Bundle to move slow stock with controlled discount"))</f>
        <v/>
      </c>
    </row>
    <row r="153">
      <c r="A153">
        <f>IF(Scoring_Model!V153&lt;&gt;"Yes","","RB-"&amp;TEXT(COUNTIF(Scoring_Model!$V$2:$V153,"Yes"),"000000"))</f>
        <v/>
      </c>
      <c r="B153">
        <f>Scoring_Model!A153</f>
        <v/>
      </c>
      <c r="C153">
        <f>Scoring_Model!B153</f>
        <v/>
      </c>
      <c r="D153">
        <f>Scoring_Model!C153</f>
        <v/>
      </c>
      <c r="E153">
        <f>Scoring_Model!S153</f>
        <v/>
      </c>
      <c r="F153">
        <f>Scoring_Model!T153</f>
        <v/>
      </c>
      <c r="G153" s="2">
        <f>Scoring_Model!R153</f>
        <v/>
      </c>
      <c r="H153">
        <f>Scoring_Model!P153</f>
        <v/>
      </c>
      <c r="I153">
        <f>IF(Scoring_Model!V153&lt;&gt;"Yes","",IFERROR(XLOOKUP(D153&amp;"|anchor",Scoring_Model!$X$2:$X$300,Scoring_Model!$Y$2:$Y$300,INDEX(Scoring_Model!$Y$2:$Y$300,MATCH("Yes",Scoring_Model!$U$2:$U$300,0))),"No anchor found"))</f>
        <v/>
      </c>
      <c r="J153" s="2">
        <f>Scoring_Model!W153</f>
        <v/>
      </c>
      <c r="K153">
        <f>IF(Scoring_Model!V153&lt;&gt;"Yes","",IF(F153="High Value Bundle","1 anchor + 1 slow mover",IF(F153="Medium Value Bundle","1 anchor + 2 slow movers","1 anchor + 2 slow movers (aggressive clearout)")))</f>
        <v/>
      </c>
      <c r="L153">
        <f>IF(B153="","",IF(Scoring_Model!V153&lt;&gt;"Yes","Not a slow-mover bundle candidate","Bundle to move slow stock with controlled discount"))</f>
        <v/>
      </c>
    </row>
    <row r="154">
      <c r="A154">
        <f>IF(Scoring_Model!V154&lt;&gt;"Yes","","RB-"&amp;TEXT(COUNTIF(Scoring_Model!$V$2:$V154,"Yes"),"000000"))</f>
        <v/>
      </c>
      <c r="B154">
        <f>Scoring_Model!A154</f>
        <v/>
      </c>
      <c r="C154">
        <f>Scoring_Model!B154</f>
        <v/>
      </c>
      <c r="D154">
        <f>Scoring_Model!C154</f>
        <v/>
      </c>
      <c r="E154">
        <f>Scoring_Model!S154</f>
        <v/>
      </c>
      <c r="F154">
        <f>Scoring_Model!T154</f>
        <v/>
      </c>
      <c r="G154" s="2">
        <f>Scoring_Model!R154</f>
        <v/>
      </c>
      <c r="H154">
        <f>Scoring_Model!P154</f>
        <v/>
      </c>
      <c r="I154">
        <f>IF(Scoring_Model!V154&lt;&gt;"Yes","",IFERROR(XLOOKUP(D154&amp;"|anchor",Scoring_Model!$X$2:$X$300,Scoring_Model!$Y$2:$Y$300,INDEX(Scoring_Model!$Y$2:$Y$300,MATCH("Yes",Scoring_Model!$U$2:$U$300,0))),"No anchor found"))</f>
        <v/>
      </c>
      <c r="J154" s="2">
        <f>Scoring_Model!W154</f>
        <v/>
      </c>
      <c r="K154">
        <f>IF(Scoring_Model!V154&lt;&gt;"Yes","",IF(F154="High Value Bundle","1 anchor + 1 slow mover",IF(F154="Medium Value Bundle","1 anchor + 2 slow movers","1 anchor + 2 slow movers (aggressive clearout)")))</f>
        <v/>
      </c>
      <c r="L154">
        <f>IF(B154="","",IF(Scoring_Model!V154&lt;&gt;"Yes","Not a slow-mover bundle candidate","Bundle to move slow stock with controlled discount"))</f>
        <v/>
      </c>
    </row>
    <row r="155">
      <c r="A155">
        <f>IF(Scoring_Model!V155&lt;&gt;"Yes","","RB-"&amp;TEXT(COUNTIF(Scoring_Model!$V$2:$V155,"Yes"),"000000"))</f>
        <v/>
      </c>
      <c r="B155">
        <f>Scoring_Model!A155</f>
        <v/>
      </c>
      <c r="C155">
        <f>Scoring_Model!B155</f>
        <v/>
      </c>
      <c r="D155">
        <f>Scoring_Model!C155</f>
        <v/>
      </c>
      <c r="E155">
        <f>Scoring_Model!S155</f>
        <v/>
      </c>
      <c r="F155">
        <f>Scoring_Model!T155</f>
        <v/>
      </c>
      <c r="G155" s="2">
        <f>Scoring_Model!R155</f>
        <v/>
      </c>
      <c r="H155">
        <f>Scoring_Model!P155</f>
        <v/>
      </c>
      <c r="I155">
        <f>IF(Scoring_Model!V155&lt;&gt;"Yes","",IFERROR(XLOOKUP(D155&amp;"|anchor",Scoring_Model!$X$2:$X$300,Scoring_Model!$Y$2:$Y$300,INDEX(Scoring_Model!$Y$2:$Y$300,MATCH("Yes",Scoring_Model!$U$2:$U$300,0))),"No anchor found"))</f>
        <v/>
      </c>
      <c r="J155" s="2">
        <f>Scoring_Model!W155</f>
        <v/>
      </c>
      <c r="K155">
        <f>IF(Scoring_Model!V155&lt;&gt;"Yes","",IF(F155="High Value Bundle","1 anchor + 1 slow mover",IF(F155="Medium Value Bundle","1 anchor + 2 slow movers","1 anchor + 2 slow movers (aggressive clearout)")))</f>
        <v/>
      </c>
      <c r="L155">
        <f>IF(B155="","",IF(Scoring_Model!V155&lt;&gt;"Yes","Not a slow-mover bundle candidate","Bundle to move slow stock with controlled discount"))</f>
        <v/>
      </c>
    </row>
    <row r="156">
      <c r="A156">
        <f>IF(Scoring_Model!V156&lt;&gt;"Yes","","RB-"&amp;TEXT(COUNTIF(Scoring_Model!$V$2:$V156,"Yes"),"000000"))</f>
        <v/>
      </c>
      <c r="B156">
        <f>Scoring_Model!A156</f>
        <v/>
      </c>
      <c r="C156">
        <f>Scoring_Model!B156</f>
        <v/>
      </c>
      <c r="D156">
        <f>Scoring_Model!C156</f>
        <v/>
      </c>
      <c r="E156">
        <f>Scoring_Model!S156</f>
        <v/>
      </c>
      <c r="F156">
        <f>Scoring_Model!T156</f>
        <v/>
      </c>
      <c r="G156" s="2">
        <f>Scoring_Model!R156</f>
        <v/>
      </c>
      <c r="H156">
        <f>Scoring_Model!P156</f>
        <v/>
      </c>
      <c r="I156">
        <f>IF(Scoring_Model!V156&lt;&gt;"Yes","",IFERROR(XLOOKUP(D156&amp;"|anchor",Scoring_Model!$X$2:$X$300,Scoring_Model!$Y$2:$Y$300,INDEX(Scoring_Model!$Y$2:$Y$300,MATCH("Yes",Scoring_Model!$U$2:$U$300,0))),"No anchor found"))</f>
        <v/>
      </c>
      <c r="J156" s="2">
        <f>Scoring_Model!W156</f>
        <v/>
      </c>
      <c r="K156">
        <f>IF(Scoring_Model!V156&lt;&gt;"Yes","",IF(F156="High Value Bundle","1 anchor + 1 slow mover",IF(F156="Medium Value Bundle","1 anchor + 2 slow movers","1 anchor + 2 slow movers (aggressive clearout)")))</f>
        <v/>
      </c>
      <c r="L156">
        <f>IF(B156="","",IF(Scoring_Model!V156&lt;&gt;"Yes","Not a slow-mover bundle candidate","Bundle to move slow stock with controlled discount"))</f>
        <v/>
      </c>
    </row>
    <row r="157">
      <c r="A157">
        <f>IF(Scoring_Model!V157&lt;&gt;"Yes","","RB-"&amp;TEXT(COUNTIF(Scoring_Model!$V$2:$V157,"Yes"),"000000"))</f>
        <v/>
      </c>
      <c r="B157">
        <f>Scoring_Model!A157</f>
        <v/>
      </c>
      <c r="C157">
        <f>Scoring_Model!B157</f>
        <v/>
      </c>
      <c r="D157">
        <f>Scoring_Model!C157</f>
        <v/>
      </c>
      <c r="E157">
        <f>Scoring_Model!S157</f>
        <v/>
      </c>
      <c r="F157">
        <f>Scoring_Model!T157</f>
        <v/>
      </c>
      <c r="G157" s="2">
        <f>Scoring_Model!R157</f>
        <v/>
      </c>
      <c r="H157">
        <f>Scoring_Model!P157</f>
        <v/>
      </c>
      <c r="I157">
        <f>IF(Scoring_Model!V157&lt;&gt;"Yes","",IFERROR(XLOOKUP(D157&amp;"|anchor",Scoring_Model!$X$2:$X$300,Scoring_Model!$Y$2:$Y$300,INDEX(Scoring_Model!$Y$2:$Y$300,MATCH("Yes",Scoring_Model!$U$2:$U$300,0))),"No anchor found"))</f>
        <v/>
      </c>
      <c r="J157" s="2">
        <f>Scoring_Model!W157</f>
        <v/>
      </c>
      <c r="K157">
        <f>IF(Scoring_Model!V157&lt;&gt;"Yes","",IF(F157="High Value Bundle","1 anchor + 1 slow mover",IF(F157="Medium Value Bundle","1 anchor + 2 slow movers","1 anchor + 2 slow movers (aggressive clearout)")))</f>
        <v/>
      </c>
      <c r="L157">
        <f>IF(B157="","",IF(Scoring_Model!V157&lt;&gt;"Yes","Not a slow-mover bundle candidate","Bundle to move slow stock with controlled discount"))</f>
        <v/>
      </c>
    </row>
    <row r="158">
      <c r="A158">
        <f>IF(Scoring_Model!V158&lt;&gt;"Yes","","RB-"&amp;TEXT(COUNTIF(Scoring_Model!$V$2:$V158,"Yes"),"000000"))</f>
        <v/>
      </c>
      <c r="B158">
        <f>Scoring_Model!A158</f>
        <v/>
      </c>
      <c r="C158">
        <f>Scoring_Model!B158</f>
        <v/>
      </c>
      <c r="D158">
        <f>Scoring_Model!C158</f>
        <v/>
      </c>
      <c r="E158">
        <f>Scoring_Model!S158</f>
        <v/>
      </c>
      <c r="F158">
        <f>Scoring_Model!T158</f>
        <v/>
      </c>
      <c r="G158" s="2">
        <f>Scoring_Model!R158</f>
        <v/>
      </c>
      <c r="H158">
        <f>Scoring_Model!P158</f>
        <v/>
      </c>
      <c r="I158">
        <f>IF(Scoring_Model!V158&lt;&gt;"Yes","",IFERROR(XLOOKUP(D158&amp;"|anchor",Scoring_Model!$X$2:$X$300,Scoring_Model!$Y$2:$Y$300,INDEX(Scoring_Model!$Y$2:$Y$300,MATCH("Yes",Scoring_Model!$U$2:$U$300,0))),"No anchor found"))</f>
        <v/>
      </c>
      <c r="J158" s="2">
        <f>Scoring_Model!W158</f>
        <v/>
      </c>
      <c r="K158">
        <f>IF(Scoring_Model!V158&lt;&gt;"Yes","",IF(F158="High Value Bundle","1 anchor + 1 slow mover",IF(F158="Medium Value Bundle","1 anchor + 2 slow movers","1 anchor + 2 slow movers (aggressive clearout)")))</f>
        <v/>
      </c>
      <c r="L158">
        <f>IF(B158="","",IF(Scoring_Model!V158&lt;&gt;"Yes","Not a slow-mover bundle candidate","Bundle to move slow stock with controlled discount"))</f>
        <v/>
      </c>
    </row>
    <row r="159">
      <c r="A159">
        <f>IF(Scoring_Model!V159&lt;&gt;"Yes","","RB-"&amp;TEXT(COUNTIF(Scoring_Model!$V$2:$V159,"Yes"),"000000"))</f>
        <v/>
      </c>
      <c r="B159">
        <f>Scoring_Model!A159</f>
        <v/>
      </c>
      <c r="C159">
        <f>Scoring_Model!B159</f>
        <v/>
      </c>
      <c r="D159">
        <f>Scoring_Model!C159</f>
        <v/>
      </c>
      <c r="E159">
        <f>Scoring_Model!S159</f>
        <v/>
      </c>
      <c r="F159">
        <f>Scoring_Model!T159</f>
        <v/>
      </c>
      <c r="G159" s="2">
        <f>Scoring_Model!R159</f>
        <v/>
      </c>
      <c r="H159">
        <f>Scoring_Model!P159</f>
        <v/>
      </c>
      <c r="I159">
        <f>IF(Scoring_Model!V159&lt;&gt;"Yes","",IFERROR(XLOOKUP(D159&amp;"|anchor",Scoring_Model!$X$2:$X$300,Scoring_Model!$Y$2:$Y$300,INDEX(Scoring_Model!$Y$2:$Y$300,MATCH("Yes",Scoring_Model!$U$2:$U$300,0))),"No anchor found"))</f>
        <v/>
      </c>
      <c r="J159" s="2">
        <f>Scoring_Model!W159</f>
        <v/>
      </c>
      <c r="K159">
        <f>IF(Scoring_Model!V159&lt;&gt;"Yes","",IF(F159="High Value Bundle","1 anchor + 1 slow mover",IF(F159="Medium Value Bundle","1 anchor + 2 slow movers","1 anchor + 2 slow movers (aggressive clearout)")))</f>
        <v/>
      </c>
      <c r="L159">
        <f>IF(B159="","",IF(Scoring_Model!V159&lt;&gt;"Yes","Not a slow-mover bundle candidate","Bundle to move slow stock with controlled discount"))</f>
        <v/>
      </c>
    </row>
    <row r="160">
      <c r="A160">
        <f>IF(Scoring_Model!V160&lt;&gt;"Yes","","RB-"&amp;TEXT(COUNTIF(Scoring_Model!$V$2:$V160,"Yes"),"000000"))</f>
        <v/>
      </c>
      <c r="B160">
        <f>Scoring_Model!A160</f>
        <v/>
      </c>
      <c r="C160">
        <f>Scoring_Model!B160</f>
        <v/>
      </c>
      <c r="D160">
        <f>Scoring_Model!C160</f>
        <v/>
      </c>
      <c r="E160">
        <f>Scoring_Model!S160</f>
        <v/>
      </c>
      <c r="F160">
        <f>Scoring_Model!T160</f>
        <v/>
      </c>
      <c r="G160" s="2">
        <f>Scoring_Model!R160</f>
        <v/>
      </c>
      <c r="H160">
        <f>Scoring_Model!P160</f>
        <v/>
      </c>
      <c r="I160">
        <f>IF(Scoring_Model!V160&lt;&gt;"Yes","",IFERROR(XLOOKUP(D160&amp;"|anchor",Scoring_Model!$X$2:$X$300,Scoring_Model!$Y$2:$Y$300,INDEX(Scoring_Model!$Y$2:$Y$300,MATCH("Yes",Scoring_Model!$U$2:$U$300,0))),"No anchor found"))</f>
        <v/>
      </c>
      <c r="J160" s="2">
        <f>Scoring_Model!W160</f>
        <v/>
      </c>
      <c r="K160">
        <f>IF(Scoring_Model!V160&lt;&gt;"Yes","",IF(F160="High Value Bundle","1 anchor + 1 slow mover",IF(F160="Medium Value Bundle","1 anchor + 2 slow movers","1 anchor + 2 slow movers (aggressive clearout)")))</f>
        <v/>
      </c>
      <c r="L160">
        <f>IF(B160="","",IF(Scoring_Model!V160&lt;&gt;"Yes","Not a slow-mover bundle candidate","Bundle to move slow stock with controlled discount"))</f>
        <v/>
      </c>
    </row>
    <row r="161">
      <c r="A161">
        <f>IF(Scoring_Model!V161&lt;&gt;"Yes","","RB-"&amp;TEXT(COUNTIF(Scoring_Model!$V$2:$V161,"Yes"),"000000"))</f>
        <v/>
      </c>
      <c r="B161">
        <f>Scoring_Model!A161</f>
        <v/>
      </c>
      <c r="C161">
        <f>Scoring_Model!B161</f>
        <v/>
      </c>
      <c r="D161">
        <f>Scoring_Model!C161</f>
        <v/>
      </c>
      <c r="E161">
        <f>Scoring_Model!S161</f>
        <v/>
      </c>
      <c r="F161">
        <f>Scoring_Model!T161</f>
        <v/>
      </c>
      <c r="G161" s="2">
        <f>Scoring_Model!R161</f>
        <v/>
      </c>
      <c r="H161">
        <f>Scoring_Model!P161</f>
        <v/>
      </c>
      <c r="I161">
        <f>IF(Scoring_Model!V161&lt;&gt;"Yes","",IFERROR(XLOOKUP(D161&amp;"|anchor",Scoring_Model!$X$2:$X$300,Scoring_Model!$Y$2:$Y$300,INDEX(Scoring_Model!$Y$2:$Y$300,MATCH("Yes",Scoring_Model!$U$2:$U$300,0))),"No anchor found"))</f>
        <v/>
      </c>
      <c r="J161" s="2">
        <f>Scoring_Model!W161</f>
        <v/>
      </c>
      <c r="K161">
        <f>IF(Scoring_Model!V161&lt;&gt;"Yes","",IF(F161="High Value Bundle","1 anchor + 1 slow mover",IF(F161="Medium Value Bundle","1 anchor + 2 slow movers","1 anchor + 2 slow movers (aggressive clearout)")))</f>
        <v/>
      </c>
      <c r="L161">
        <f>IF(B161="","",IF(Scoring_Model!V161&lt;&gt;"Yes","Not a slow-mover bundle candidate","Bundle to move slow stock with controlled discount"))</f>
        <v/>
      </c>
    </row>
    <row r="162">
      <c r="A162">
        <f>IF(Scoring_Model!V162&lt;&gt;"Yes","","RB-"&amp;TEXT(COUNTIF(Scoring_Model!$V$2:$V162,"Yes"),"000000"))</f>
        <v/>
      </c>
      <c r="B162">
        <f>Scoring_Model!A162</f>
        <v/>
      </c>
      <c r="C162">
        <f>Scoring_Model!B162</f>
        <v/>
      </c>
      <c r="D162">
        <f>Scoring_Model!C162</f>
        <v/>
      </c>
      <c r="E162">
        <f>Scoring_Model!S162</f>
        <v/>
      </c>
      <c r="F162">
        <f>Scoring_Model!T162</f>
        <v/>
      </c>
      <c r="G162" s="2">
        <f>Scoring_Model!R162</f>
        <v/>
      </c>
      <c r="H162">
        <f>Scoring_Model!P162</f>
        <v/>
      </c>
      <c r="I162">
        <f>IF(Scoring_Model!V162&lt;&gt;"Yes","",IFERROR(XLOOKUP(D162&amp;"|anchor",Scoring_Model!$X$2:$X$300,Scoring_Model!$Y$2:$Y$300,INDEX(Scoring_Model!$Y$2:$Y$300,MATCH("Yes",Scoring_Model!$U$2:$U$300,0))),"No anchor found"))</f>
        <v/>
      </c>
      <c r="J162" s="2">
        <f>Scoring_Model!W162</f>
        <v/>
      </c>
      <c r="K162">
        <f>IF(Scoring_Model!V162&lt;&gt;"Yes","",IF(F162="High Value Bundle","1 anchor + 1 slow mover",IF(F162="Medium Value Bundle","1 anchor + 2 slow movers","1 anchor + 2 slow movers (aggressive clearout)")))</f>
        <v/>
      </c>
      <c r="L162">
        <f>IF(B162="","",IF(Scoring_Model!V162&lt;&gt;"Yes","Not a slow-mover bundle candidate","Bundle to move slow stock with controlled discount"))</f>
        <v/>
      </c>
    </row>
    <row r="163">
      <c r="A163">
        <f>IF(Scoring_Model!V163&lt;&gt;"Yes","","RB-"&amp;TEXT(COUNTIF(Scoring_Model!$V$2:$V163,"Yes"),"000000"))</f>
        <v/>
      </c>
      <c r="B163">
        <f>Scoring_Model!A163</f>
        <v/>
      </c>
      <c r="C163">
        <f>Scoring_Model!B163</f>
        <v/>
      </c>
      <c r="D163">
        <f>Scoring_Model!C163</f>
        <v/>
      </c>
      <c r="E163">
        <f>Scoring_Model!S163</f>
        <v/>
      </c>
      <c r="F163">
        <f>Scoring_Model!T163</f>
        <v/>
      </c>
      <c r="G163" s="2">
        <f>Scoring_Model!R163</f>
        <v/>
      </c>
      <c r="H163">
        <f>Scoring_Model!P163</f>
        <v/>
      </c>
      <c r="I163">
        <f>IF(Scoring_Model!V163&lt;&gt;"Yes","",IFERROR(XLOOKUP(D163&amp;"|anchor",Scoring_Model!$X$2:$X$300,Scoring_Model!$Y$2:$Y$300,INDEX(Scoring_Model!$Y$2:$Y$300,MATCH("Yes",Scoring_Model!$U$2:$U$300,0))),"No anchor found"))</f>
        <v/>
      </c>
      <c r="J163" s="2">
        <f>Scoring_Model!W163</f>
        <v/>
      </c>
      <c r="K163">
        <f>IF(Scoring_Model!V163&lt;&gt;"Yes","",IF(F163="High Value Bundle","1 anchor + 1 slow mover",IF(F163="Medium Value Bundle","1 anchor + 2 slow movers","1 anchor + 2 slow movers (aggressive clearout)")))</f>
        <v/>
      </c>
      <c r="L163">
        <f>IF(B163="","",IF(Scoring_Model!V163&lt;&gt;"Yes","Not a slow-mover bundle candidate","Bundle to move slow stock with controlled discount"))</f>
        <v/>
      </c>
    </row>
    <row r="164">
      <c r="A164">
        <f>IF(Scoring_Model!V164&lt;&gt;"Yes","","RB-"&amp;TEXT(COUNTIF(Scoring_Model!$V$2:$V164,"Yes"),"000000"))</f>
        <v/>
      </c>
      <c r="B164">
        <f>Scoring_Model!A164</f>
        <v/>
      </c>
      <c r="C164">
        <f>Scoring_Model!B164</f>
        <v/>
      </c>
      <c r="D164">
        <f>Scoring_Model!C164</f>
        <v/>
      </c>
      <c r="E164">
        <f>Scoring_Model!S164</f>
        <v/>
      </c>
      <c r="F164">
        <f>Scoring_Model!T164</f>
        <v/>
      </c>
      <c r="G164" s="2">
        <f>Scoring_Model!R164</f>
        <v/>
      </c>
      <c r="H164">
        <f>Scoring_Model!P164</f>
        <v/>
      </c>
      <c r="I164">
        <f>IF(Scoring_Model!V164&lt;&gt;"Yes","",IFERROR(XLOOKUP(D164&amp;"|anchor",Scoring_Model!$X$2:$X$300,Scoring_Model!$Y$2:$Y$300,INDEX(Scoring_Model!$Y$2:$Y$300,MATCH("Yes",Scoring_Model!$U$2:$U$300,0))),"No anchor found"))</f>
        <v/>
      </c>
      <c r="J164" s="2">
        <f>Scoring_Model!W164</f>
        <v/>
      </c>
      <c r="K164">
        <f>IF(Scoring_Model!V164&lt;&gt;"Yes","",IF(F164="High Value Bundle","1 anchor + 1 slow mover",IF(F164="Medium Value Bundle","1 anchor + 2 slow movers","1 anchor + 2 slow movers (aggressive clearout)")))</f>
        <v/>
      </c>
      <c r="L164">
        <f>IF(B164="","",IF(Scoring_Model!V164&lt;&gt;"Yes","Not a slow-mover bundle candidate","Bundle to move slow stock with controlled discount"))</f>
        <v/>
      </c>
    </row>
    <row r="165">
      <c r="A165">
        <f>IF(Scoring_Model!V165&lt;&gt;"Yes","","RB-"&amp;TEXT(COUNTIF(Scoring_Model!$V$2:$V165,"Yes"),"000000"))</f>
        <v/>
      </c>
      <c r="B165">
        <f>Scoring_Model!A165</f>
        <v/>
      </c>
      <c r="C165">
        <f>Scoring_Model!B165</f>
        <v/>
      </c>
      <c r="D165">
        <f>Scoring_Model!C165</f>
        <v/>
      </c>
      <c r="E165">
        <f>Scoring_Model!S165</f>
        <v/>
      </c>
      <c r="F165">
        <f>Scoring_Model!T165</f>
        <v/>
      </c>
      <c r="G165" s="2">
        <f>Scoring_Model!R165</f>
        <v/>
      </c>
      <c r="H165">
        <f>Scoring_Model!P165</f>
        <v/>
      </c>
      <c r="I165">
        <f>IF(Scoring_Model!V165&lt;&gt;"Yes","",IFERROR(XLOOKUP(D165&amp;"|anchor",Scoring_Model!$X$2:$X$300,Scoring_Model!$Y$2:$Y$300,INDEX(Scoring_Model!$Y$2:$Y$300,MATCH("Yes",Scoring_Model!$U$2:$U$300,0))),"No anchor found"))</f>
        <v/>
      </c>
      <c r="J165" s="2">
        <f>Scoring_Model!W165</f>
        <v/>
      </c>
      <c r="K165">
        <f>IF(Scoring_Model!V165&lt;&gt;"Yes","",IF(F165="High Value Bundle","1 anchor + 1 slow mover",IF(F165="Medium Value Bundle","1 anchor + 2 slow movers","1 anchor + 2 slow movers (aggressive clearout)")))</f>
        <v/>
      </c>
      <c r="L165">
        <f>IF(B165="","",IF(Scoring_Model!V165&lt;&gt;"Yes","Not a slow-mover bundle candidate","Bundle to move slow stock with controlled discount"))</f>
        <v/>
      </c>
    </row>
    <row r="166">
      <c r="A166">
        <f>IF(Scoring_Model!V166&lt;&gt;"Yes","","RB-"&amp;TEXT(COUNTIF(Scoring_Model!$V$2:$V166,"Yes"),"000000"))</f>
        <v/>
      </c>
      <c r="B166">
        <f>Scoring_Model!A166</f>
        <v/>
      </c>
      <c r="C166">
        <f>Scoring_Model!B166</f>
        <v/>
      </c>
      <c r="D166">
        <f>Scoring_Model!C166</f>
        <v/>
      </c>
      <c r="E166">
        <f>Scoring_Model!S166</f>
        <v/>
      </c>
      <c r="F166">
        <f>Scoring_Model!T166</f>
        <v/>
      </c>
      <c r="G166" s="2">
        <f>Scoring_Model!R166</f>
        <v/>
      </c>
      <c r="H166">
        <f>Scoring_Model!P166</f>
        <v/>
      </c>
      <c r="I166">
        <f>IF(Scoring_Model!V166&lt;&gt;"Yes","",IFERROR(XLOOKUP(D166&amp;"|anchor",Scoring_Model!$X$2:$X$300,Scoring_Model!$Y$2:$Y$300,INDEX(Scoring_Model!$Y$2:$Y$300,MATCH("Yes",Scoring_Model!$U$2:$U$300,0))),"No anchor found"))</f>
        <v/>
      </c>
      <c r="J166" s="2">
        <f>Scoring_Model!W166</f>
        <v/>
      </c>
      <c r="K166">
        <f>IF(Scoring_Model!V166&lt;&gt;"Yes","",IF(F166="High Value Bundle","1 anchor + 1 slow mover",IF(F166="Medium Value Bundle","1 anchor + 2 slow movers","1 anchor + 2 slow movers (aggressive clearout)")))</f>
        <v/>
      </c>
      <c r="L166">
        <f>IF(B166="","",IF(Scoring_Model!V166&lt;&gt;"Yes","Not a slow-mover bundle candidate","Bundle to move slow stock with controlled discount"))</f>
        <v/>
      </c>
    </row>
    <row r="167">
      <c r="A167">
        <f>IF(Scoring_Model!V167&lt;&gt;"Yes","","RB-"&amp;TEXT(COUNTIF(Scoring_Model!$V$2:$V167,"Yes"),"000000"))</f>
        <v/>
      </c>
      <c r="B167">
        <f>Scoring_Model!A167</f>
        <v/>
      </c>
      <c r="C167">
        <f>Scoring_Model!B167</f>
        <v/>
      </c>
      <c r="D167">
        <f>Scoring_Model!C167</f>
        <v/>
      </c>
      <c r="E167">
        <f>Scoring_Model!S167</f>
        <v/>
      </c>
      <c r="F167">
        <f>Scoring_Model!T167</f>
        <v/>
      </c>
      <c r="G167" s="2">
        <f>Scoring_Model!R167</f>
        <v/>
      </c>
      <c r="H167">
        <f>Scoring_Model!P167</f>
        <v/>
      </c>
      <c r="I167">
        <f>IF(Scoring_Model!V167&lt;&gt;"Yes","",IFERROR(XLOOKUP(D167&amp;"|anchor",Scoring_Model!$X$2:$X$300,Scoring_Model!$Y$2:$Y$300,INDEX(Scoring_Model!$Y$2:$Y$300,MATCH("Yes",Scoring_Model!$U$2:$U$300,0))),"No anchor found"))</f>
        <v/>
      </c>
      <c r="J167" s="2">
        <f>Scoring_Model!W167</f>
        <v/>
      </c>
      <c r="K167">
        <f>IF(Scoring_Model!V167&lt;&gt;"Yes","",IF(F167="High Value Bundle","1 anchor + 1 slow mover",IF(F167="Medium Value Bundle","1 anchor + 2 slow movers","1 anchor + 2 slow movers (aggressive clearout)")))</f>
        <v/>
      </c>
      <c r="L167">
        <f>IF(B167="","",IF(Scoring_Model!V167&lt;&gt;"Yes","Not a slow-mover bundle candidate","Bundle to move slow stock with controlled discount"))</f>
        <v/>
      </c>
    </row>
    <row r="168">
      <c r="A168">
        <f>IF(Scoring_Model!V168&lt;&gt;"Yes","","RB-"&amp;TEXT(COUNTIF(Scoring_Model!$V$2:$V168,"Yes"),"000000"))</f>
        <v/>
      </c>
      <c r="B168">
        <f>Scoring_Model!A168</f>
        <v/>
      </c>
      <c r="C168">
        <f>Scoring_Model!B168</f>
        <v/>
      </c>
      <c r="D168">
        <f>Scoring_Model!C168</f>
        <v/>
      </c>
      <c r="E168">
        <f>Scoring_Model!S168</f>
        <v/>
      </c>
      <c r="F168">
        <f>Scoring_Model!T168</f>
        <v/>
      </c>
      <c r="G168" s="2">
        <f>Scoring_Model!R168</f>
        <v/>
      </c>
      <c r="H168">
        <f>Scoring_Model!P168</f>
        <v/>
      </c>
      <c r="I168">
        <f>IF(Scoring_Model!V168&lt;&gt;"Yes","",IFERROR(XLOOKUP(D168&amp;"|anchor",Scoring_Model!$X$2:$X$300,Scoring_Model!$Y$2:$Y$300,INDEX(Scoring_Model!$Y$2:$Y$300,MATCH("Yes",Scoring_Model!$U$2:$U$300,0))),"No anchor found"))</f>
        <v/>
      </c>
      <c r="J168" s="2">
        <f>Scoring_Model!W168</f>
        <v/>
      </c>
      <c r="K168">
        <f>IF(Scoring_Model!V168&lt;&gt;"Yes","",IF(F168="High Value Bundle","1 anchor + 1 slow mover",IF(F168="Medium Value Bundle","1 anchor + 2 slow movers","1 anchor + 2 slow movers (aggressive clearout)")))</f>
        <v/>
      </c>
      <c r="L168">
        <f>IF(B168="","",IF(Scoring_Model!V168&lt;&gt;"Yes","Not a slow-mover bundle candidate","Bundle to move slow stock with controlled discount"))</f>
        <v/>
      </c>
    </row>
    <row r="169">
      <c r="A169">
        <f>IF(Scoring_Model!V169&lt;&gt;"Yes","","RB-"&amp;TEXT(COUNTIF(Scoring_Model!$V$2:$V169,"Yes"),"000000"))</f>
        <v/>
      </c>
      <c r="B169">
        <f>Scoring_Model!A169</f>
        <v/>
      </c>
      <c r="C169">
        <f>Scoring_Model!B169</f>
        <v/>
      </c>
      <c r="D169">
        <f>Scoring_Model!C169</f>
        <v/>
      </c>
      <c r="E169">
        <f>Scoring_Model!S169</f>
        <v/>
      </c>
      <c r="F169">
        <f>Scoring_Model!T169</f>
        <v/>
      </c>
      <c r="G169" s="2">
        <f>Scoring_Model!R169</f>
        <v/>
      </c>
      <c r="H169">
        <f>Scoring_Model!P169</f>
        <v/>
      </c>
      <c r="I169">
        <f>IF(Scoring_Model!V169&lt;&gt;"Yes","",IFERROR(XLOOKUP(D169&amp;"|anchor",Scoring_Model!$X$2:$X$300,Scoring_Model!$Y$2:$Y$300,INDEX(Scoring_Model!$Y$2:$Y$300,MATCH("Yes",Scoring_Model!$U$2:$U$300,0))),"No anchor found"))</f>
        <v/>
      </c>
      <c r="J169" s="2">
        <f>Scoring_Model!W169</f>
        <v/>
      </c>
      <c r="K169">
        <f>IF(Scoring_Model!V169&lt;&gt;"Yes","",IF(F169="High Value Bundle","1 anchor + 1 slow mover",IF(F169="Medium Value Bundle","1 anchor + 2 slow movers","1 anchor + 2 slow movers (aggressive clearout)")))</f>
        <v/>
      </c>
      <c r="L169">
        <f>IF(B169="","",IF(Scoring_Model!V169&lt;&gt;"Yes","Not a slow-mover bundle candidate","Bundle to move slow stock with controlled discount"))</f>
        <v/>
      </c>
    </row>
    <row r="170">
      <c r="A170">
        <f>IF(Scoring_Model!V170&lt;&gt;"Yes","","RB-"&amp;TEXT(COUNTIF(Scoring_Model!$V$2:$V170,"Yes"),"000000"))</f>
        <v/>
      </c>
      <c r="B170">
        <f>Scoring_Model!A170</f>
        <v/>
      </c>
      <c r="C170">
        <f>Scoring_Model!B170</f>
        <v/>
      </c>
      <c r="D170">
        <f>Scoring_Model!C170</f>
        <v/>
      </c>
      <c r="E170">
        <f>Scoring_Model!S170</f>
        <v/>
      </c>
      <c r="F170">
        <f>Scoring_Model!T170</f>
        <v/>
      </c>
      <c r="G170" s="2">
        <f>Scoring_Model!R170</f>
        <v/>
      </c>
      <c r="H170">
        <f>Scoring_Model!P170</f>
        <v/>
      </c>
      <c r="I170">
        <f>IF(Scoring_Model!V170&lt;&gt;"Yes","",IFERROR(XLOOKUP(D170&amp;"|anchor",Scoring_Model!$X$2:$X$300,Scoring_Model!$Y$2:$Y$300,INDEX(Scoring_Model!$Y$2:$Y$300,MATCH("Yes",Scoring_Model!$U$2:$U$300,0))),"No anchor found"))</f>
        <v/>
      </c>
      <c r="J170" s="2">
        <f>Scoring_Model!W170</f>
        <v/>
      </c>
      <c r="K170">
        <f>IF(Scoring_Model!V170&lt;&gt;"Yes","",IF(F170="High Value Bundle","1 anchor + 1 slow mover",IF(F170="Medium Value Bundle","1 anchor + 2 slow movers","1 anchor + 2 slow movers (aggressive clearout)")))</f>
        <v/>
      </c>
      <c r="L170">
        <f>IF(B170="","",IF(Scoring_Model!V170&lt;&gt;"Yes","Not a slow-mover bundle candidate","Bundle to move slow stock with controlled discount"))</f>
        <v/>
      </c>
    </row>
    <row r="171">
      <c r="A171">
        <f>IF(Scoring_Model!V171&lt;&gt;"Yes","","RB-"&amp;TEXT(COUNTIF(Scoring_Model!$V$2:$V171,"Yes"),"000000"))</f>
        <v/>
      </c>
      <c r="B171">
        <f>Scoring_Model!A171</f>
        <v/>
      </c>
      <c r="C171">
        <f>Scoring_Model!B171</f>
        <v/>
      </c>
      <c r="D171">
        <f>Scoring_Model!C171</f>
        <v/>
      </c>
      <c r="E171">
        <f>Scoring_Model!S171</f>
        <v/>
      </c>
      <c r="F171">
        <f>Scoring_Model!T171</f>
        <v/>
      </c>
      <c r="G171" s="2">
        <f>Scoring_Model!R171</f>
        <v/>
      </c>
      <c r="H171">
        <f>Scoring_Model!P171</f>
        <v/>
      </c>
      <c r="I171">
        <f>IF(Scoring_Model!V171&lt;&gt;"Yes","",IFERROR(XLOOKUP(D171&amp;"|anchor",Scoring_Model!$X$2:$X$300,Scoring_Model!$Y$2:$Y$300,INDEX(Scoring_Model!$Y$2:$Y$300,MATCH("Yes",Scoring_Model!$U$2:$U$300,0))),"No anchor found"))</f>
        <v/>
      </c>
      <c r="J171" s="2">
        <f>Scoring_Model!W171</f>
        <v/>
      </c>
      <c r="K171">
        <f>IF(Scoring_Model!V171&lt;&gt;"Yes","",IF(F171="High Value Bundle","1 anchor + 1 slow mover",IF(F171="Medium Value Bundle","1 anchor + 2 slow movers","1 anchor + 2 slow movers (aggressive clearout)")))</f>
        <v/>
      </c>
      <c r="L171">
        <f>IF(B171="","",IF(Scoring_Model!V171&lt;&gt;"Yes","Not a slow-mover bundle candidate","Bundle to move slow stock with controlled discount"))</f>
        <v/>
      </c>
    </row>
    <row r="172">
      <c r="A172">
        <f>IF(Scoring_Model!V172&lt;&gt;"Yes","","RB-"&amp;TEXT(COUNTIF(Scoring_Model!$V$2:$V172,"Yes"),"000000"))</f>
        <v/>
      </c>
      <c r="B172">
        <f>Scoring_Model!A172</f>
        <v/>
      </c>
      <c r="C172">
        <f>Scoring_Model!B172</f>
        <v/>
      </c>
      <c r="D172">
        <f>Scoring_Model!C172</f>
        <v/>
      </c>
      <c r="E172">
        <f>Scoring_Model!S172</f>
        <v/>
      </c>
      <c r="F172">
        <f>Scoring_Model!T172</f>
        <v/>
      </c>
      <c r="G172" s="2">
        <f>Scoring_Model!R172</f>
        <v/>
      </c>
      <c r="H172">
        <f>Scoring_Model!P172</f>
        <v/>
      </c>
      <c r="I172">
        <f>IF(Scoring_Model!V172&lt;&gt;"Yes","",IFERROR(XLOOKUP(D172&amp;"|anchor",Scoring_Model!$X$2:$X$300,Scoring_Model!$Y$2:$Y$300,INDEX(Scoring_Model!$Y$2:$Y$300,MATCH("Yes",Scoring_Model!$U$2:$U$300,0))),"No anchor found"))</f>
        <v/>
      </c>
      <c r="J172" s="2">
        <f>Scoring_Model!W172</f>
        <v/>
      </c>
      <c r="K172">
        <f>IF(Scoring_Model!V172&lt;&gt;"Yes","",IF(F172="High Value Bundle","1 anchor + 1 slow mover",IF(F172="Medium Value Bundle","1 anchor + 2 slow movers","1 anchor + 2 slow movers (aggressive clearout)")))</f>
        <v/>
      </c>
      <c r="L172">
        <f>IF(B172="","",IF(Scoring_Model!V172&lt;&gt;"Yes","Not a slow-mover bundle candidate","Bundle to move slow stock with controlled discount"))</f>
        <v/>
      </c>
    </row>
    <row r="173">
      <c r="A173">
        <f>IF(Scoring_Model!V173&lt;&gt;"Yes","","RB-"&amp;TEXT(COUNTIF(Scoring_Model!$V$2:$V173,"Yes"),"000000"))</f>
        <v/>
      </c>
      <c r="B173">
        <f>Scoring_Model!A173</f>
        <v/>
      </c>
      <c r="C173">
        <f>Scoring_Model!B173</f>
        <v/>
      </c>
      <c r="D173">
        <f>Scoring_Model!C173</f>
        <v/>
      </c>
      <c r="E173">
        <f>Scoring_Model!S173</f>
        <v/>
      </c>
      <c r="F173">
        <f>Scoring_Model!T173</f>
        <v/>
      </c>
      <c r="G173" s="2">
        <f>Scoring_Model!R173</f>
        <v/>
      </c>
      <c r="H173">
        <f>Scoring_Model!P173</f>
        <v/>
      </c>
      <c r="I173">
        <f>IF(Scoring_Model!V173&lt;&gt;"Yes","",IFERROR(XLOOKUP(D173&amp;"|anchor",Scoring_Model!$X$2:$X$300,Scoring_Model!$Y$2:$Y$300,INDEX(Scoring_Model!$Y$2:$Y$300,MATCH("Yes",Scoring_Model!$U$2:$U$300,0))),"No anchor found"))</f>
        <v/>
      </c>
      <c r="J173" s="2">
        <f>Scoring_Model!W173</f>
        <v/>
      </c>
      <c r="K173">
        <f>IF(Scoring_Model!V173&lt;&gt;"Yes","",IF(F173="High Value Bundle","1 anchor + 1 slow mover",IF(F173="Medium Value Bundle","1 anchor + 2 slow movers","1 anchor + 2 slow movers (aggressive clearout)")))</f>
        <v/>
      </c>
      <c r="L173">
        <f>IF(B173="","",IF(Scoring_Model!V173&lt;&gt;"Yes","Not a slow-mover bundle candidate","Bundle to move slow stock with controlled discount"))</f>
        <v/>
      </c>
    </row>
    <row r="174">
      <c r="A174">
        <f>IF(Scoring_Model!V174&lt;&gt;"Yes","","RB-"&amp;TEXT(COUNTIF(Scoring_Model!$V$2:$V174,"Yes"),"000000"))</f>
        <v/>
      </c>
      <c r="B174">
        <f>Scoring_Model!A174</f>
        <v/>
      </c>
      <c r="C174">
        <f>Scoring_Model!B174</f>
        <v/>
      </c>
      <c r="D174">
        <f>Scoring_Model!C174</f>
        <v/>
      </c>
      <c r="E174">
        <f>Scoring_Model!S174</f>
        <v/>
      </c>
      <c r="F174">
        <f>Scoring_Model!T174</f>
        <v/>
      </c>
      <c r="G174" s="2">
        <f>Scoring_Model!R174</f>
        <v/>
      </c>
      <c r="H174">
        <f>Scoring_Model!P174</f>
        <v/>
      </c>
      <c r="I174">
        <f>IF(Scoring_Model!V174&lt;&gt;"Yes","",IFERROR(XLOOKUP(D174&amp;"|anchor",Scoring_Model!$X$2:$X$300,Scoring_Model!$Y$2:$Y$300,INDEX(Scoring_Model!$Y$2:$Y$300,MATCH("Yes",Scoring_Model!$U$2:$U$300,0))),"No anchor found"))</f>
        <v/>
      </c>
      <c r="J174" s="2">
        <f>Scoring_Model!W174</f>
        <v/>
      </c>
      <c r="K174">
        <f>IF(Scoring_Model!V174&lt;&gt;"Yes","",IF(F174="High Value Bundle","1 anchor + 1 slow mover",IF(F174="Medium Value Bundle","1 anchor + 2 slow movers","1 anchor + 2 slow movers (aggressive clearout)")))</f>
        <v/>
      </c>
      <c r="L174">
        <f>IF(B174="","",IF(Scoring_Model!V174&lt;&gt;"Yes","Not a slow-mover bundle candidate","Bundle to move slow stock with controlled discount"))</f>
        <v/>
      </c>
    </row>
    <row r="175">
      <c r="A175">
        <f>IF(Scoring_Model!V175&lt;&gt;"Yes","","RB-"&amp;TEXT(COUNTIF(Scoring_Model!$V$2:$V175,"Yes"),"000000"))</f>
        <v/>
      </c>
      <c r="B175">
        <f>Scoring_Model!A175</f>
        <v/>
      </c>
      <c r="C175">
        <f>Scoring_Model!B175</f>
        <v/>
      </c>
      <c r="D175">
        <f>Scoring_Model!C175</f>
        <v/>
      </c>
      <c r="E175">
        <f>Scoring_Model!S175</f>
        <v/>
      </c>
      <c r="F175">
        <f>Scoring_Model!T175</f>
        <v/>
      </c>
      <c r="G175" s="2">
        <f>Scoring_Model!R175</f>
        <v/>
      </c>
      <c r="H175">
        <f>Scoring_Model!P175</f>
        <v/>
      </c>
      <c r="I175">
        <f>IF(Scoring_Model!V175&lt;&gt;"Yes","",IFERROR(XLOOKUP(D175&amp;"|anchor",Scoring_Model!$X$2:$X$300,Scoring_Model!$Y$2:$Y$300,INDEX(Scoring_Model!$Y$2:$Y$300,MATCH("Yes",Scoring_Model!$U$2:$U$300,0))),"No anchor found"))</f>
        <v/>
      </c>
      <c r="J175" s="2">
        <f>Scoring_Model!W175</f>
        <v/>
      </c>
      <c r="K175">
        <f>IF(Scoring_Model!V175&lt;&gt;"Yes","",IF(F175="High Value Bundle","1 anchor + 1 slow mover",IF(F175="Medium Value Bundle","1 anchor + 2 slow movers","1 anchor + 2 slow movers (aggressive clearout)")))</f>
        <v/>
      </c>
      <c r="L175">
        <f>IF(B175="","",IF(Scoring_Model!V175&lt;&gt;"Yes","Not a slow-mover bundle candidate","Bundle to move slow stock with controlled discount"))</f>
        <v/>
      </c>
    </row>
    <row r="176">
      <c r="A176">
        <f>IF(Scoring_Model!V176&lt;&gt;"Yes","","RB-"&amp;TEXT(COUNTIF(Scoring_Model!$V$2:$V176,"Yes"),"000000"))</f>
        <v/>
      </c>
      <c r="B176">
        <f>Scoring_Model!A176</f>
        <v/>
      </c>
      <c r="C176">
        <f>Scoring_Model!B176</f>
        <v/>
      </c>
      <c r="D176">
        <f>Scoring_Model!C176</f>
        <v/>
      </c>
      <c r="E176">
        <f>Scoring_Model!S176</f>
        <v/>
      </c>
      <c r="F176">
        <f>Scoring_Model!T176</f>
        <v/>
      </c>
      <c r="G176" s="2">
        <f>Scoring_Model!R176</f>
        <v/>
      </c>
      <c r="H176">
        <f>Scoring_Model!P176</f>
        <v/>
      </c>
      <c r="I176">
        <f>IF(Scoring_Model!V176&lt;&gt;"Yes","",IFERROR(XLOOKUP(D176&amp;"|anchor",Scoring_Model!$X$2:$X$300,Scoring_Model!$Y$2:$Y$300,INDEX(Scoring_Model!$Y$2:$Y$300,MATCH("Yes",Scoring_Model!$U$2:$U$300,0))),"No anchor found"))</f>
        <v/>
      </c>
      <c r="J176" s="2">
        <f>Scoring_Model!W176</f>
        <v/>
      </c>
      <c r="K176">
        <f>IF(Scoring_Model!V176&lt;&gt;"Yes","",IF(F176="High Value Bundle","1 anchor + 1 slow mover",IF(F176="Medium Value Bundle","1 anchor + 2 slow movers","1 anchor + 2 slow movers (aggressive clearout)")))</f>
        <v/>
      </c>
      <c r="L176">
        <f>IF(B176="","",IF(Scoring_Model!V176&lt;&gt;"Yes","Not a slow-mover bundle candidate","Bundle to move slow stock with controlled discount"))</f>
        <v/>
      </c>
    </row>
    <row r="177">
      <c r="A177">
        <f>IF(Scoring_Model!V177&lt;&gt;"Yes","","RB-"&amp;TEXT(COUNTIF(Scoring_Model!$V$2:$V177,"Yes"),"000000"))</f>
        <v/>
      </c>
      <c r="B177">
        <f>Scoring_Model!A177</f>
        <v/>
      </c>
      <c r="C177">
        <f>Scoring_Model!B177</f>
        <v/>
      </c>
      <c r="D177">
        <f>Scoring_Model!C177</f>
        <v/>
      </c>
      <c r="E177">
        <f>Scoring_Model!S177</f>
        <v/>
      </c>
      <c r="F177">
        <f>Scoring_Model!T177</f>
        <v/>
      </c>
      <c r="G177" s="2">
        <f>Scoring_Model!R177</f>
        <v/>
      </c>
      <c r="H177">
        <f>Scoring_Model!P177</f>
        <v/>
      </c>
      <c r="I177">
        <f>IF(Scoring_Model!V177&lt;&gt;"Yes","",IFERROR(XLOOKUP(D177&amp;"|anchor",Scoring_Model!$X$2:$X$300,Scoring_Model!$Y$2:$Y$300,INDEX(Scoring_Model!$Y$2:$Y$300,MATCH("Yes",Scoring_Model!$U$2:$U$300,0))),"No anchor found"))</f>
        <v/>
      </c>
      <c r="J177" s="2">
        <f>Scoring_Model!W177</f>
        <v/>
      </c>
      <c r="K177">
        <f>IF(Scoring_Model!V177&lt;&gt;"Yes","",IF(F177="High Value Bundle","1 anchor + 1 slow mover",IF(F177="Medium Value Bundle","1 anchor + 2 slow movers","1 anchor + 2 slow movers (aggressive clearout)")))</f>
        <v/>
      </c>
      <c r="L177">
        <f>IF(B177="","",IF(Scoring_Model!V177&lt;&gt;"Yes","Not a slow-mover bundle candidate","Bundle to move slow stock with controlled discount"))</f>
        <v/>
      </c>
    </row>
    <row r="178">
      <c r="A178">
        <f>IF(Scoring_Model!V178&lt;&gt;"Yes","","RB-"&amp;TEXT(COUNTIF(Scoring_Model!$V$2:$V178,"Yes"),"000000"))</f>
        <v/>
      </c>
      <c r="B178">
        <f>Scoring_Model!A178</f>
        <v/>
      </c>
      <c r="C178">
        <f>Scoring_Model!B178</f>
        <v/>
      </c>
      <c r="D178">
        <f>Scoring_Model!C178</f>
        <v/>
      </c>
      <c r="E178">
        <f>Scoring_Model!S178</f>
        <v/>
      </c>
      <c r="F178">
        <f>Scoring_Model!T178</f>
        <v/>
      </c>
      <c r="G178" s="2">
        <f>Scoring_Model!R178</f>
        <v/>
      </c>
      <c r="H178">
        <f>Scoring_Model!P178</f>
        <v/>
      </c>
      <c r="I178">
        <f>IF(Scoring_Model!V178&lt;&gt;"Yes","",IFERROR(XLOOKUP(D178&amp;"|anchor",Scoring_Model!$X$2:$X$300,Scoring_Model!$Y$2:$Y$300,INDEX(Scoring_Model!$Y$2:$Y$300,MATCH("Yes",Scoring_Model!$U$2:$U$300,0))),"No anchor found"))</f>
        <v/>
      </c>
      <c r="J178" s="2">
        <f>Scoring_Model!W178</f>
        <v/>
      </c>
      <c r="K178">
        <f>IF(Scoring_Model!V178&lt;&gt;"Yes","",IF(F178="High Value Bundle","1 anchor + 1 slow mover",IF(F178="Medium Value Bundle","1 anchor + 2 slow movers","1 anchor + 2 slow movers (aggressive clearout)")))</f>
        <v/>
      </c>
      <c r="L178">
        <f>IF(B178="","",IF(Scoring_Model!V178&lt;&gt;"Yes","Not a slow-mover bundle candidate","Bundle to move slow stock with controlled discount"))</f>
        <v/>
      </c>
    </row>
    <row r="179">
      <c r="A179">
        <f>IF(Scoring_Model!V179&lt;&gt;"Yes","","RB-"&amp;TEXT(COUNTIF(Scoring_Model!$V$2:$V179,"Yes"),"000000"))</f>
        <v/>
      </c>
      <c r="B179">
        <f>Scoring_Model!A179</f>
        <v/>
      </c>
      <c r="C179">
        <f>Scoring_Model!B179</f>
        <v/>
      </c>
      <c r="D179">
        <f>Scoring_Model!C179</f>
        <v/>
      </c>
      <c r="E179">
        <f>Scoring_Model!S179</f>
        <v/>
      </c>
      <c r="F179">
        <f>Scoring_Model!T179</f>
        <v/>
      </c>
      <c r="G179" s="2">
        <f>Scoring_Model!R179</f>
        <v/>
      </c>
      <c r="H179">
        <f>Scoring_Model!P179</f>
        <v/>
      </c>
      <c r="I179">
        <f>IF(Scoring_Model!V179&lt;&gt;"Yes","",IFERROR(XLOOKUP(D179&amp;"|anchor",Scoring_Model!$X$2:$X$300,Scoring_Model!$Y$2:$Y$300,INDEX(Scoring_Model!$Y$2:$Y$300,MATCH("Yes",Scoring_Model!$U$2:$U$300,0))),"No anchor found"))</f>
        <v/>
      </c>
      <c r="J179" s="2">
        <f>Scoring_Model!W179</f>
        <v/>
      </c>
      <c r="K179">
        <f>IF(Scoring_Model!V179&lt;&gt;"Yes","",IF(F179="High Value Bundle","1 anchor + 1 slow mover",IF(F179="Medium Value Bundle","1 anchor + 2 slow movers","1 anchor + 2 slow movers (aggressive clearout)")))</f>
        <v/>
      </c>
      <c r="L179">
        <f>IF(B179="","",IF(Scoring_Model!V179&lt;&gt;"Yes","Not a slow-mover bundle candidate","Bundle to move slow stock with controlled discount"))</f>
        <v/>
      </c>
    </row>
    <row r="180">
      <c r="A180">
        <f>IF(Scoring_Model!V180&lt;&gt;"Yes","","RB-"&amp;TEXT(COUNTIF(Scoring_Model!$V$2:$V180,"Yes"),"000000"))</f>
        <v/>
      </c>
      <c r="B180">
        <f>Scoring_Model!A180</f>
        <v/>
      </c>
      <c r="C180">
        <f>Scoring_Model!B180</f>
        <v/>
      </c>
      <c r="D180">
        <f>Scoring_Model!C180</f>
        <v/>
      </c>
      <c r="E180">
        <f>Scoring_Model!S180</f>
        <v/>
      </c>
      <c r="F180">
        <f>Scoring_Model!T180</f>
        <v/>
      </c>
      <c r="G180" s="2">
        <f>Scoring_Model!R180</f>
        <v/>
      </c>
      <c r="H180">
        <f>Scoring_Model!P180</f>
        <v/>
      </c>
      <c r="I180">
        <f>IF(Scoring_Model!V180&lt;&gt;"Yes","",IFERROR(XLOOKUP(D180&amp;"|anchor",Scoring_Model!$X$2:$X$300,Scoring_Model!$Y$2:$Y$300,INDEX(Scoring_Model!$Y$2:$Y$300,MATCH("Yes",Scoring_Model!$U$2:$U$300,0))),"No anchor found"))</f>
        <v/>
      </c>
      <c r="J180" s="2">
        <f>Scoring_Model!W180</f>
        <v/>
      </c>
      <c r="K180">
        <f>IF(Scoring_Model!V180&lt;&gt;"Yes","",IF(F180="High Value Bundle","1 anchor + 1 slow mover",IF(F180="Medium Value Bundle","1 anchor + 2 slow movers","1 anchor + 2 slow movers (aggressive clearout)")))</f>
        <v/>
      </c>
      <c r="L180">
        <f>IF(B180="","",IF(Scoring_Model!V180&lt;&gt;"Yes","Not a slow-mover bundle candidate","Bundle to move slow stock with controlled discount"))</f>
        <v/>
      </c>
    </row>
    <row r="181">
      <c r="A181">
        <f>IF(Scoring_Model!V181&lt;&gt;"Yes","","RB-"&amp;TEXT(COUNTIF(Scoring_Model!$V$2:$V181,"Yes"),"000000"))</f>
        <v/>
      </c>
      <c r="B181">
        <f>Scoring_Model!A181</f>
        <v/>
      </c>
      <c r="C181">
        <f>Scoring_Model!B181</f>
        <v/>
      </c>
      <c r="D181">
        <f>Scoring_Model!C181</f>
        <v/>
      </c>
      <c r="E181">
        <f>Scoring_Model!S181</f>
        <v/>
      </c>
      <c r="F181">
        <f>Scoring_Model!T181</f>
        <v/>
      </c>
      <c r="G181" s="2">
        <f>Scoring_Model!R181</f>
        <v/>
      </c>
      <c r="H181">
        <f>Scoring_Model!P181</f>
        <v/>
      </c>
      <c r="I181">
        <f>IF(Scoring_Model!V181&lt;&gt;"Yes","",IFERROR(XLOOKUP(D181&amp;"|anchor",Scoring_Model!$X$2:$X$300,Scoring_Model!$Y$2:$Y$300,INDEX(Scoring_Model!$Y$2:$Y$300,MATCH("Yes",Scoring_Model!$U$2:$U$300,0))),"No anchor found"))</f>
        <v/>
      </c>
      <c r="J181" s="2">
        <f>Scoring_Model!W181</f>
        <v/>
      </c>
      <c r="K181">
        <f>IF(Scoring_Model!V181&lt;&gt;"Yes","",IF(F181="High Value Bundle","1 anchor + 1 slow mover",IF(F181="Medium Value Bundle","1 anchor + 2 slow movers","1 anchor + 2 slow movers (aggressive clearout)")))</f>
        <v/>
      </c>
      <c r="L181">
        <f>IF(B181="","",IF(Scoring_Model!V181&lt;&gt;"Yes","Not a slow-mover bundle candidate","Bundle to move slow stock with controlled discount"))</f>
        <v/>
      </c>
    </row>
    <row r="182">
      <c r="A182">
        <f>IF(Scoring_Model!V182&lt;&gt;"Yes","","RB-"&amp;TEXT(COUNTIF(Scoring_Model!$V$2:$V182,"Yes"),"000000"))</f>
        <v/>
      </c>
      <c r="B182">
        <f>Scoring_Model!A182</f>
        <v/>
      </c>
      <c r="C182">
        <f>Scoring_Model!B182</f>
        <v/>
      </c>
      <c r="D182">
        <f>Scoring_Model!C182</f>
        <v/>
      </c>
      <c r="E182">
        <f>Scoring_Model!S182</f>
        <v/>
      </c>
      <c r="F182">
        <f>Scoring_Model!T182</f>
        <v/>
      </c>
      <c r="G182" s="2">
        <f>Scoring_Model!R182</f>
        <v/>
      </c>
      <c r="H182">
        <f>Scoring_Model!P182</f>
        <v/>
      </c>
      <c r="I182">
        <f>IF(Scoring_Model!V182&lt;&gt;"Yes","",IFERROR(XLOOKUP(D182&amp;"|anchor",Scoring_Model!$X$2:$X$300,Scoring_Model!$Y$2:$Y$300,INDEX(Scoring_Model!$Y$2:$Y$300,MATCH("Yes",Scoring_Model!$U$2:$U$300,0))),"No anchor found"))</f>
        <v/>
      </c>
      <c r="J182" s="2">
        <f>Scoring_Model!W182</f>
        <v/>
      </c>
      <c r="K182">
        <f>IF(Scoring_Model!V182&lt;&gt;"Yes","",IF(F182="High Value Bundle","1 anchor + 1 slow mover",IF(F182="Medium Value Bundle","1 anchor + 2 slow movers","1 anchor + 2 slow movers (aggressive clearout)")))</f>
        <v/>
      </c>
      <c r="L182">
        <f>IF(B182="","",IF(Scoring_Model!V182&lt;&gt;"Yes","Not a slow-mover bundle candidate","Bundle to move slow stock with controlled discount"))</f>
        <v/>
      </c>
    </row>
    <row r="183">
      <c r="A183">
        <f>IF(Scoring_Model!V183&lt;&gt;"Yes","","RB-"&amp;TEXT(COUNTIF(Scoring_Model!$V$2:$V183,"Yes"),"000000"))</f>
        <v/>
      </c>
      <c r="B183">
        <f>Scoring_Model!A183</f>
        <v/>
      </c>
      <c r="C183">
        <f>Scoring_Model!B183</f>
        <v/>
      </c>
      <c r="D183">
        <f>Scoring_Model!C183</f>
        <v/>
      </c>
      <c r="E183">
        <f>Scoring_Model!S183</f>
        <v/>
      </c>
      <c r="F183">
        <f>Scoring_Model!T183</f>
        <v/>
      </c>
      <c r="G183" s="2">
        <f>Scoring_Model!R183</f>
        <v/>
      </c>
      <c r="H183">
        <f>Scoring_Model!P183</f>
        <v/>
      </c>
      <c r="I183">
        <f>IF(Scoring_Model!V183&lt;&gt;"Yes","",IFERROR(XLOOKUP(D183&amp;"|anchor",Scoring_Model!$X$2:$X$300,Scoring_Model!$Y$2:$Y$300,INDEX(Scoring_Model!$Y$2:$Y$300,MATCH("Yes",Scoring_Model!$U$2:$U$300,0))),"No anchor found"))</f>
        <v/>
      </c>
      <c r="J183" s="2">
        <f>Scoring_Model!W183</f>
        <v/>
      </c>
      <c r="K183">
        <f>IF(Scoring_Model!V183&lt;&gt;"Yes","",IF(F183="High Value Bundle","1 anchor + 1 slow mover",IF(F183="Medium Value Bundle","1 anchor + 2 slow movers","1 anchor + 2 slow movers (aggressive clearout)")))</f>
        <v/>
      </c>
      <c r="L183">
        <f>IF(B183="","",IF(Scoring_Model!V183&lt;&gt;"Yes","Not a slow-mover bundle candidate","Bundle to move slow stock with controlled discount"))</f>
        <v/>
      </c>
    </row>
    <row r="184">
      <c r="A184">
        <f>IF(Scoring_Model!V184&lt;&gt;"Yes","","RB-"&amp;TEXT(COUNTIF(Scoring_Model!$V$2:$V184,"Yes"),"000000"))</f>
        <v/>
      </c>
      <c r="B184">
        <f>Scoring_Model!A184</f>
        <v/>
      </c>
      <c r="C184">
        <f>Scoring_Model!B184</f>
        <v/>
      </c>
      <c r="D184">
        <f>Scoring_Model!C184</f>
        <v/>
      </c>
      <c r="E184">
        <f>Scoring_Model!S184</f>
        <v/>
      </c>
      <c r="F184">
        <f>Scoring_Model!T184</f>
        <v/>
      </c>
      <c r="G184" s="2">
        <f>Scoring_Model!R184</f>
        <v/>
      </c>
      <c r="H184">
        <f>Scoring_Model!P184</f>
        <v/>
      </c>
      <c r="I184">
        <f>IF(Scoring_Model!V184&lt;&gt;"Yes","",IFERROR(XLOOKUP(D184&amp;"|anchor",Scoring_Model!$X$2:$X$300,Scoring_Model!$Y$2:$Y$300,INDEX(Scoring_Model!$Y$2:$Y$300,MATCH("Yes",Scoring_Model!$U$2:$U$300,0))),"No anchor found"))</f>
        <v/>
      </c>
      <c r="J184" s="2">
        <f>Scoring_Model!W184</f>
        <v/>
      </c>
      <c r="K184">
        <f>IF(Scoring_Model!V184&lt;&gt;"Yes","",IF(F184="High Value Bundle","1 anchor + 1 slow mover",IF(F184="Medium Value Bundle","1 anchor + 2 slow movers","1 anchor + 2 slow movers (aggressive clearout)")))</f>
        <v/>
      </c>
      <c r="L184">
        <f>IF(B184="","",IF(Scoring_Model!V184&lt;&gt;"Yes","Not a slow-mover bundle candidate","Bundle to move slow stock with controlled discount"))</f>
        <v/>
      </c>
    </row>
    <row r="185">
      <c r="A185">
        <f>IF(Scoring_Model!V185&lt;&gt;"Yes","","RB-"&amp;TEXT(COUNTIF(Scoring_Model!$V$2:$V185,"Yes"),"000000"))</f>
        <v/>
      </c>
      <c r="B185">
        <f>Scoring_Model!A185</f>
        <v/>
      </c>
      <c r="C185">
        <f>Scoring_Model!B185</f>
        <v/>
      </c>
      <c r="D185">
        <f>Scoring_Model!C185</f>
        <v/>
      </c>
      <c r="E185">
        <f>Scoring_Model!S185</f>
        <v/>
      </c>
      <c r="F185">
        <f>Scoring_Model!T185</f>
        <v/>
      </c>
      <c r="G185" s="2">
        <f>Scoring_Model!R185</f>
        <v/>
      </c>
      <c r="H185">
        <f>Scoring_Model!P185</f>
        <v/>
      </c>
      <c r="I185">
        <f>IF(Scoring_Model!V185&lt;&gt;"Yes","",IFERROR(XLOOKUP(D185&amp;"|anchor",Scoring_Model!$X$2:$X$300,Scoring_Model!$Y$2:$Y$300,INDEX(Scoring_Model!$Y$2:$Y$300,MATCH("Yes",Scoring_Model!$U$2:$U$300,0))),"No anchor found"))</f>
        <v/>
      </c>
      <c r="J185" s="2">
        <f>Scoring_Model!W185</f>
        <v/>
      </c>
      <c r="K185">
        <f>IF(Scoring_Model!V185&lt;&gt;"Yes","",IF(F185="High Value Bundle","1 anchor + 1 slow mover",IF(F185="Medium Value Bundle","1 anchor + 2 slow movers","1 anchor + 2 slow movers (aggressive clearout)")))</f>
        <v/>
      </c>
      <c r="L185">
        <f>IF(B185="","",IF(Scoring_Model!V185&lt;&gt;"Yes","Not a slow-mover bundle candidate","Bundle to move slow stock with controlled discount"))</f>
        <v/>
      </c>
    </row>
    <row r="186">
      <c r="A186">
        <f>IF(Scoring_Model!V186&lt;&gt;"Yes","","RB-"&amp;TEXT(COUNTIF(Scoring_Model!$V$2:$V186,"Yes"),"000000"))</f>
        <v/>
      </c>
      <c r="B186">
        <f>Scoring_Model!A186</f>
        <v/>
      </c>
      <c r="C186">
        <f>Scoring_Model!B186</f>
        <v/>
      </c>
      <c r="D186">
        <f>Scoring_Model!C186</f>
        <v/>
      </c>
      <c r="E186">
        <f>Scoring_Model!S186</f>
        <v/>
      </c>
      <c r="F186">
        <f>Scoring_Model!T186</f>
        <v/>
      </c>
      <c r="G186" s="2">
        <f>Scoring_Model!R186</f>
        <v/>
      </c>
      <c r="H186">
        <f>Scoring_Model!P186</f>
        <v/>
      </c>
      <c r="I186">
        <f>IF(Scoring_Model!V186&lt;&gt;"Yes","",IFERROR(XLOOKUP(D186&amp;"|anchor",Scoring_Model!$X$2:$X$300,Scoring_Model!$Y$2:$Y$300,INDEX(Scoring_Model!$Y$2:$Y$300,MATCH("Yes",Scoring_Model!$U$2:$U$300,0))),"No anchor found"))</f>
        <v/>
      </c>
      <c r="J186" s="2">
        <f>Scoring_Model!W186</f>
        <v/>
      </c>
      <c r="K186">
        <f>IF(Scoring_Model!V186&lt;&gt;"Yes","",IF(F186="High Value Bundle","1 anchor + 1 slow mover",IF(F186="Medium Value Bundle","1 anchor + 2 slow movers","1 anchor + 2 slow movers (aggressive clearout)")))</f>
        <v/>
      </c>
      <c r="L186">
        <f>IF(B186="","",IF(Scoring_Model!V186&lt;&gt;"Yes","Not a slow-mover bundle candidate","Bundle to move slow stock with controlled discount"))</f>
        <v/>
      </c>
    </row>
    <row r="187">
      <c r="A187">
        <f>IF(Scoring_Model!V187&lt;&gt;"Yes","","RB-"&amp;TEXT(COUNTIF(Scoring_Model!$V$2:$V187,"Yes"),"000000"))</f>
        <v/>
      </c>
      <c r="B187">
        <f>Scoring_Model!A187</f>
        <v/>
      </c>
      <c r="C187">
        <f>Scoring_Model!B187</f>
        <v/>
      </c>
      <c r="D187">
        <f>Scoring_Model!C187</f>
        <v/>
      </c>
      <c r="E187">
        <f>Scoring_Model!S187</f>
        <v/>
      </c>
      <c r="F187">
        <f>Scoring_Model!T187</f>
        <v/>
      </c>
      <c r="G187" s="2">
        <f>Scoring_Model!R187</f>
        <v/>
      </c>
      <c r="H187">
        <f>Scoring_Model!P187</f>
        <v/>
      </c>
      <c r="I187">
        <f>IF(Scoring_Model!V187&lt;&gt;"Yes","",IFERROR(XLOOKUP(D187&amp;"|anchor",Scoring_Model!$X$2:$X$300,Scoring_Model!$Y$2:$Y$300,INDEX(Scoring_Model!$Y$2:$Y$300,MATCH("Yes",Scoring_Model!$U$2:$U$300,0))),"No anchor found"))</f>
        <v/>
      </c>
      <c r="J187" s="2">
        <f>Scoring_Model!W187</f>
        <v/>
      </c>
      <c r="K187">
        <f>IF(Scoring_Model!V187&lt;&gt;"Yes","",IF(F187="High Value Bundle","1 anchor + 1 slow mover",IF(F187="Medium Value Bundle","1 anchor + 2 slow movers","1 anchor + 2 slow movers (aggressive clearout)")))</f>
        <v/>
      </c>
      <c r="L187">
        <f>IF(B187="","",IF(Scoring_Model!V187&lt;&gt;"Yes","Not a slow-mover bundle candidate","Bundle to move slow stock with controlled discount"))</f>
        <v/>
      </c>
    </row>
    <row r="188">
      <c r="A188">
        <f>IF(Scoring_Model!V188&lt;&gt;"Yes","","RB-"&amp;TEXT(COUNTIF(Scoring_Model!$V$2:$V188,"Yes"),"000000"))</f>
        <v/>
      </c>
      <c r="B188">
        <f>Scoring_Model!A188</f>
        <v/>
      </c>
      <c r="C188">
        <f>Scoring_Model!B188</f>
        <v/>
      </c>
      <c r="D188">
        <f>Scoring_Model!C188</f>
        <v/>
      </c>
      <c r="E188">
        <f>Scoring_Model!S188</f>
        <v/>
      </c>
      <c r="F188">
        <f>Scoring_Model!T188</f>
        <v/>
      </c>
      <c r="G188" s="2">
        <f>Scoring_Model!R188</f>
        <v/>
      </c>
      <c r="H188">
        <f>Scoring_Model!P188</f>
        <v/>
      </c>
      <c r="I188">
        <f>IF(Scoring_Model!V188&lt;&gt;"Yes","",IFERROR(XLOOKUP(D188&amp;"|anchor",Scoring_Model!$X$2:$X$300,Scoring_Model!$Y$2:$Y$300,INDEX(Scoring_Model!$Y$2:$Y$300,MATCH("Yes",Scoring_Model!$U$2:$U$300,0))),"No anchor found"))</f>
        <v/>
      </c>
      <c r="J188" s="2">
        <f>Scoring_Model!W188</f>
        <v/>
      </c>
      <c r="K188">
        <f>IF(Scoring_Model!V188&lt;&gt;"Yes","",IF(F188="High Value Bundle","1 anchor + 1 slow mover",IF(F188="Medium Value Bundle","1 anchor + 2 slow movers","1 anchor + 2 slow movers (aggressive clearout)")))</f>
        <v/>
      </c>
      <c r="L188">
        <f>IF(B188="","",IF(Scoring_Model!V188&lt;&gt;"Yes","Not a slow-mover bundle candidate","Bundle to move slow stock with controlled discount"))</f>
        <v/>
      </c>
    </row>
    <row r="189">
      <c r="A189">
        <f>IF(Scoring_Model!V189&lt;&gt;"Yes","","RB-"&amp;TEXT(COUNTIF(Scoring_Model!$V$2:$V189,"Yes"),"000000"))</f>
        <v/>
      </c>
      <c r="B189">
        <f>Scoring_Model!A189</f>
        <v/>
      </c>
      <c r="C189">
        <f>Scoring_Model!B189</f>
        <v/>
      </c>
      <c r="D189">
        <f>Scoring_Model!C189</f>
        <v/>
      </c>
      <c r="E189">
        <f>Scoring_Model!S189</f>
        <v/>
      </c>
      <c r="F189">
        <f>Scoring_Model!T189</f>
        <v/>
      </c>
      <c r="G189" s="2">
        <f>Scoring_Model!R189</f>
        <v/>
      </c>
      <c r="H189">
        <f>Scoring_Model!P189</f>
        <v/>
      </c>
      <c r="I189">
        <f>IF(Scoring_Model!V189&lt;&gt;"Yes","",IFERROR(XLOOKUP(D189&amp;"|anchor",Scoring_Model!$X$2:$X$300,Scoring_Model!$Y$2:$Y$300,INDEX(Scoring_Model!$Y$2:$Y$300,MATCH("Yes",Scoring_Model!$U$2:$U$300,0))),"No anchor found"))</f>
        <v/>
      </c>
      <c r="J189" s="2">
        <f>Scoring_Model!W189</f>
        <v/>
      </c>
      <c r="K189">
        <f>IF(Scoring_Model!V189&lt;&gt;"Yes","",IF(F189="High Value Bundle","1 anchor + 1 slow mover",IF(F189="Medium Value Bundle","1 anchor + 2 slow movers","1 anchor + 2 slow movers (aggressive clearout)")))</f>
        <v/>
      </c>
      <c r="L189">
        <f>IF(B189="","",IF(Scoring_Model!V189&lt;&gt;"Yes","Not a slow-mover bundle candidate","Bundle to move slow stock with controlled discount"))</f>
        <v/>
      </c>
    </row>
    <row r="190">
      <c r="A190">
        <f>IF(Scoring_Model!V190&lt;&gt;"Yes","","RB-"&amp;TEXT(COUNTIF(Scoring_Model!$V$2:$V190,"Yes"),"000000"))</f>
        <v/>
      </c>
      <c r="B190">
        <f>Scoring_Model!A190</f>
        <v/>
      </c>
      <c r="C190">
        <f>Scoring_Model!B190</f>
        <v/>
      </c>
      <c r="D190">
        <f>Scoring_Model!C190</f>
        <v/>
      </c>
      <c r="E190">
        <f>Scoring_Model!S190</f>
        <v/>
      </c>
      <c r="F190">
        <f>Scoring_Model!T190</f>
        <v/>
      </c>
      <c r="G190" s="2">
        <f>Scoring_Model!R190</f>
        <v/>
      </c>
      <c r="H190">
        <f>Scoring_Model!P190</f>
        <v/>
      </c>
      <c r="I190">
        <f>IF(Scoring_Model!V190&lt;&gt;"Yes","",IFERROR(XLOOKUP(D190&amp;"|anchor",Scoring_Model!$X$2:$X$300,Scoring_Model!$Y$2:$Y$300,INDEX(Scoring_Model!$Y$2:$Y$300,MATCH("Yes",Scoring_Model!$U$2:$U$300,0))),"No anchor found"))</f>
        <v/>
      </c>
      <c r="J190" s="2">
        <f>Scoring_Model!W190</f>
        <v/>
      </c>
      <c r="K190">
        <f>IF(Scoring_Model!V190&lt;&gt;"Yes","",IF(F190="High Value Bundle","1 anchor + 1 slow mover",IF(F190="Medium Value Bundle","1 anchor + 2 slow movers","1 anchor + 2 slow movers (aggressive clearout)")))</f>
        <v/>
      </c>
      <c r="L190">
        <f>IF(B190="","",IF(Scoring_Model!V190&lt;&gt;"Yes","Not a slow-mover bundle candidate","Bundle to move slow stock with controlled discount"))</f>
        <v/>
      </c>
    </row>
    <row r="191">
      <c r="A191">
        <f>IF(Scoring_Model!V191&lt;&gt;"Yes","","RB-"&amp;TEXT(COUNTIF(Scoring_Model!$V$2:$V191,"Yes"),"000000"))</f>
        <v/>
      </c>
      <c r="B191">
        <f>Scoring_Model!A191</f>
        <v/>
      </c>
      <c r="C191">
        <f>Scoring_Model!B191</f>
        <v/>
      </c>
      <c r="D191">
        <f>Scoring_Model!C191</f>
        <v/>
      </c>
      <c r="E191">
        <f>Scoring_Model!S191</f>
        <v/>
      </c>
      <c r="F191">
        <f>Scoring_Model!T191</f>
        <v/>
      </c>
      <c r="G191" s="2">
        <f>Scoring_Model!R191</f>
        <v/>
      </c>
      <c r="H191">
        <f>Scoring_Model!P191</f>
        <v/>
      </c>
      <c r="I191">
        <f>IF(Scoring_Model!V191&lt;&gt;"Yes","",IFERROR(XLOOKUP(D191&amp;"|anchor",Scoring_Model!$X$2:$X$300,Scoring_Model!$Y$2:$Y$300,INDEX(Scoring_Model!$Y$2:$Y$300,MATCH("Yes",Scoring_Model!$U$2:$U$300,0))),"No anchor found"))</f>
        <v/>
      </c>
      <c r="J191" s="2">
        <f>Scoring_Model!W191</f>
        <v/>
      </c>
      <c r="K191">
        <f>IF(Scoring_Model!V191&lt;&gt;"Yes","",IF(F191="High Value Bundle","1 anchor + 1 slow mover",IF(F191="Medium Value Bundle","1 anchor + 2 slow movers","1 anchor + 2 slow movers (aggressive clearout)")))</f>
        <v/>
      </c>
      <c r="L191">
        <f>IF(B191="","",IF(Scoring_Model!V191&lt;&gt;"Yes","Not a slow-mover bundle candidate","Bundle to move slow stock with controlled discount"))</f>
        <v/>
      </c>
    </row>
    <row r="192">
      <c r="A192">
        <f>IF(Scoring_Model!V192&lt;&gt;"Yes","","RB-"&amp;TEXT(COUNTIF(Scoring_Model!$V$2:$V192,"Yes"),"000000"))</f>
        <v/>
      </c>
      <c r="B192">
        <f>Scoring_Model!A192</f>
        <v/>
      </c>
      <c r="C192">
        <f>Scoring_Model!B192</f>
        <v/>
      </c>
      <c r="D192">
        <f>Scoring_Model!C192</f>
        <v/>
      </c>
      <c r="E192">
        <f>Scoring_Model!S192</f>
        <v/>
      </c>
      <c r="F192">
        <f>Scoring_Model!T192</f>
        <v/>
      </c>
      <c r="G192" s="2">
        <f>Scoring_Model!R192</f>
        <v/>
      </c>
      <c r="H192">
        <f>Scoring_Model!P192</f>
        <v/>
      </c>
      <c r="I192">
        <f>IF(Scoring_Model!V192&lt;&gt;"Yes","",IFERROR(XLOOKUP(D192&amp;"|anchor",Scoring_Model!$X$2:$X$300,Scoring_Model!$Y$2:$Y$300,INDEX(Scoring_Model!$Y$2:$Y$300,MATCH("Yes",Scoring_Model!$U$2:$U$300,0))),"No anchor found"))</f>
        <v/>
      </c>
      <c r="J192" s="2">
        <f>Scoring_Model!W192</f>
        <v/>
      </c>
      <c r="K192">
        <f>IF(Scoring_Model!V192&lt;&gt;"Yes","",IF(F192="High Value Bundle","1 anchor + 1 slow mover",IF(F192="Medium Value Bundle","1 anchor + 2 slow movers","1 anchor + 2 slow movers (aggressive clearout)")))</f>
        <v/>
      </c>
      <c r="L192">
        <f>IF(B192="","",IF(Scoring_Model!V192&lt;&gt;"Yes","Not a slow-mover bundle candidate","Bundle to move slow stock with controlled discount"))</f>
        <v/>
      </c>
    </row>
    <row r="193">
      <c r="A193">
        <f>IF(Scoring_Model!V193&lt;&gt;"Yes","","RB-"&amp;TEXT(COUNTIF(Scoring_Model!$V$2:$V193,"Yes"),"000000"))</f>
        <v/>
      </c>
      <c r="B193">
        <f>Scoring_Model!A193</f>
        <v/>
      </c>
      <c r="C193">
        <f>Scoring_Model!B193</f>
        <v/>
      </c>
      <c r="D193">
        <f>Scoring_Model!C193</f>
        <v/>
      </c>
      <c r="E193">
        <f>Scoring_Model!S193</f>
        <v/>
      </c>
      <c r="F193">
        <f>Scoring_Model!T193</f>
        <v/>
      </c>
      <c r="G193" s="2">
        <f>Scoring_Model!R193</f>
        <v/>
      </c>
      <c r="H193">
        <f>Scoring_Model!P193</f>
        <v/>
      </c>
      <c r="I193">
        <f>IF(Scoring_Model!V193&lt;&gt;"Yes","",IFERROR(XLOOKUP(D193&amp;"|anchor",Scoring_Model!$X$2:$X$300,Scoring_Model!$Y$2:$Y$300,INDEX(Scoring_Model!$Y$2:$Y$300,MATCH("Yes",Scoring_Model!$U$2:$U$300,0))),"No anchor found"))</f>
        <v/>
      </c>
      <c r="J193" s="2">
        <f>Scoring_Model!W193</f>
        <v/>
      </c>
      <c r="K193">
        <f>IF(Scoring_Model!V193&lt;&gt;"Yes","",IF(F193="High Value Bundle","1 anchor + 1 slow mover",IF(F193="Medium Value Bundle","1 anchor + 2 slow movers","1 anchor + 2 slow movers (aggressive clearout)")))</f>
        <v/>
      </c>
      <c r="L193">
        <f>IF(B193="","",IF(Scoring_Model!V193&lt;&gt;"Yes","Not a slow-mover bundle candidate","Bundle to move slow stock with controlled discount"))</f>
        <v/>
      </c>
    </row>
    <row r="194">
      <c r="A194">
        <f>IF(Scoring_Model!V194&lt;&gt;"Yes","","RB-"&amp;TEXT(COUNTIF(Scoring_Model!$V$2:$V194,"Yes"),"000000"))</f>
        <v/>
      </c>
      <c r="B194">
        <f>Scoring_Model!A194</f>
        <v/>
      </c>
      <c r="C194">
        <f>Scoring_Model!B194</f>
        <v/>
      </c>
      <c r="D194">
        <f>Scoring_Model!C194</f>
        <v/>
      </c>
      <c r="E194">
        <f>Scoring_Model!S194</f>
        <v/>
      </c>
      <c r="F194">
        <f>Scoring_Model!T194</f>
        <v/>
      </c>
      <c r="G194" s="2">
        <f>Scoring_Model!R194</f>
        <v/>
      </c>
      <c r="H194">
        <f>Scoring_Model!P194</f>
        <v/>
      </c>
      <c r="I194">
        <f>IF(Scoring_Model!V194&lt;&gt;"Yes","",IFERROR(XLOOKUP(D194&amp;"|anchor",Scoring_Model!$X$2:$X$300,Scoring_Model!$Y$2:$Y$300,INDEX(Scoring_Model!$Y$2:$Y$300,MATCH("Yes",Scoring_Model!$U$2:$U$300,0))),"No anchor found"))</f>
        <v/>
      </c>
      <c r="J194" s="2">
        <f>Scoring_Model!W194</f>
        <v/>
      </c>
      <c r="K194">
        <f>IF(Scoring_Model!V194&lt;&gt;"Yes","",IF(F194="High Value Bundle","1 anchor + 1 slow mover",IF(F194="Medium Value Bundle","1 anchor + 2 slow movers","1 anchor + 2 slow movers (aggressive clearout)")))</f>
        <v/>
      </c>
      <c r="L194">
        <f>IF(B194="","",IF(Scoring_Model!V194&lt;&gt;"Yes","Not a slow-mover bundle candidate","Bundle to move slow stock with controlled discount"))</f>
        <v/>
      </c>
    </row>
    <row r="195">
      <c r="A195">
        <f>IF(Scoring_Model!V195&lt;&gt;"Yes","","RB-"&amp;TEXT(COUNTIF(Scoring_Model!$V$2:$V195,"Yes"),"000000"))</f>
        <v/>
      </c>
      <c r="B195">
        <f>Scoring_Model!A195</f>
        <v/>
      </c>
      <c r="C195">
        <f>Scoring_Model!B195</f>
        <v/>
      </c>
      <c r="D195">
        <f>Scoring_Model!C195</f>
        <v/>
      </c>
      <c r="E195">
        <f>Scoring_Model!S195</f>
        <v/>
      </c>
      <c r="F195">
        <f>Scoring_Model!T195</f>
        <v/>
      </c>
      <c r="G195" s="2">
        <f>Scoring_Model!R195</f>
        <v/>
      </c>
      <c r="H195">
        <f>Scoring_Model!P195</f>
        <v/>
      </c>
      <c r="I195">
        <f>IF(Scoring_Model!V195&lt;&gt;"Yes","",IFERROR(XLOOKUP(D195&amp;"|anchor",Scoring_Model!$X$2:$X$300,Scoring_Model!$Y$2:$Y$300,INDEX(Scoring_Model!$Y$2:$Y$300,MATCH("Yes",Scoring_Model!$U$2:$U$300,0))),"No anchor found"))</f>
        <v/>
      </c>
      <c r="J195" s="2">
        <f>Scoring_Model!W195</f>
        <v/>
      </c>
      <c r="K195">
        <f>IF(Scoring_Model!V195&lt;&gt;"Yes","",IF(F195="High Value Bundle","1 anchor + 1 slow mover",IF(F195="Medium Value Bundle","1 anchor + 2 slow movers","1 anchor + 2 slow movers (aggressive clearout)")))</f>
        <v/>
      </c>
      <c r="L195">
        <f>IF(B195="","",IF(Scoring_Model!V195&lt;&gt;"Yes","Not a slow-mover bundle candidate","Bundle to move slow stock with controlled discount"))</f>
        <v/>
      </c>
    </row>
    <row r="196">
      <c r="A196">
        <f>IF(Scoring_Model!V196&lt;&gt;"Yes","","RB-"&amp;TEXT(COUNTIF(Scoring_Model!$V$2:$V196,"Yes"),"000000"))</f>
        <v/>
      </c>
      <c r="B196">
        <f>Scoring_Model!A196</f>
        <v/>
      </c>
      <c r="C196">
        <f>Scoring_Model!B196</f>
        <v/>
      </c>
      <c r="D196">
        <f>Scoring_Model!C196</f>
        <v/>
      </c>
      <c r="E196">
        <f>Scoring_Model!S196</f>
        <v/>
      </c>
      <c r="F196">
        <f>Scoring_Model!T196</f>
        <v/>
      </c>
      <c r="G196" s="2">
        <f>Scoring_Model!R196</f>
        <v/>
      </c>
      <c r="H196">
        <f>Scoring_Model!P196</f>
        <v/>
      </c>
      <c r="I196">
        <f>IF(Scoring_Model!V196&lt;&gt;"Yes","",IFERROR(XLOOKUP(D196&amp;"|anchor",Scoring_Model!$X$2:$X$300,Scoring_Model!$Y$2:$Y$300,INDEX(Scoring_Model!$Y$2:$Y$300,MATCH("Yes",Scoring_Model!$U$2:$U$300,0))),"No anchor found"))</f>
        <v/>
      </c>
      <c r="J196" s="2">
        <f>Scoring_Model!W196</f>
        <v/>
      </c>
      <c r="K196">
        <f>IF(Scoring_Model!V196&lt;&gt;"Yes","",IF(F196="High Value Bundle","1 anchor + 1 slow mover",IF(F196="Medium Value Bundle","1 anchor + 2 slow movers","1 anchor + 2 slow movers (aggressive clearout)")))</f>
        <v/>
      </c>
      <c r="L196">
        <f>IF(B196="","",IF(Scoring_Model!V196&lt;&gt;"Yes","Not a slow-mover bundle candidate","Bundle to move slow stock with controlled discount"))</f>
        <v/>
      </c>
    </row>
    <row r="197">
      <c r="A197">
        <f>IF(Scoring_Model!V197&lt;&gt;"Yes","","RB-"&amp;TEXT(COUNTIF(Scoring_Model!$V$2:$V197,"Yes"),"000000"))</f>
        <v/>
      </c>
      <c r="B197">
        <f>Scoring_Model!A197</f>
        <v/>
      </c>
      <c r="C197">
        <f>Scoring_Model!B197</f>
        <v/>
      </c>
      <c r="D197">
        <f>Scoring_Model!C197</f>
        <v/>
      </c>
      <c r="E197">
        <f>Scoring_Model!S197</f>
        <v/>
      </c>
      <c r="F197">
        <f>Scoring_Model!T197</f>
        <v/>
      </c>
      <c r="G197" s="2">
        <f>Scoring_Model!R197</f>
        <v/>
      </c>
      <c r="H197">
        <f>Scoring_Model!P197</f>
        <v/>
      </c>
      <c r="I197">
        <f>IF(Scoring_Model!V197&lt;&gt;"Yes","",IFERROR(XLOOKUP(D197&amp;"|anchor",Scoring_Model!$X$2:$X$300,Scoring_Model!$Y$2:$Y$300,INDEX(Scoring_Model!$Y$2:$Y$300,MATCH("Yes",Scoring_Model!$U$2:$U$300,0))),"No anchor found"))</f>
        <v/>
      </c>
      <c r="J197" s="2">
        <f>Scoring_Model!W197</f>
        <v/>
      </c>
      <c r="K197">
        <f>IF(Scoring_Model!V197&lt;&gt;"Yes","",IF(F197="High Value Bundle","1 anchor + 1 slow mover",IF(F197="Medium Value Bundle","1 anchor + 2 slow movers","1 anchor + 2 slow movers (aggressive clearout)")))</f>
        <v/>
      </c>
      <c r="L197">
        <f>IF(B197="","",IF(Scoring_Model!V197&lt;&gt;"Yes","Not a slow-mover bundle candidate","Bundle to move slow stock with controlled discount"))</f>
        <v/>
      </c>
    </row>
    <row r="198">
      <c r="A198">
        <f>IF(Scoring_Model!V198&lt;&gt;"Yes","","RB-"&amp;TEXT(COUNTIF(Scoring_Model!$V$2:$V198,"Yes"),"000000"))</f>
        <v/>
      </c>
      <c r="B198">
        <f>Scoring_Model!A198</f>
        <v/>
      </c>
      <c r="C198">
        <f>Scoring_Model!B198</f>
        <v/>
      </c>
      <c r="D198">
        <f>Scoring_Model!C198</f>
        <v/>
      </c>
      <c r="E198">
        <f>Scoring_Model!S198</f>
        <v/>
      </c>
      <c r="F198">
        <f>Scoring_Model!T198</f>
        <v/>
      </c>
      <c r="G198" s="2">
        <f>Scoring_Model!R198</f>
        <v/>
      </c>
      <c r="H198">
        <f>Scoring_Model!P198</f>
        <v/>
      </c>
      <c r="I198">
        <f>IF(Scoring_Model!V198&lt;&gt;"Yes","",IFERROR(XLOOKUP(D198&amp;"|anchor",Scoring_Model!$X$2:$X$300,Scoring_Model!$Y$2:$Y$300,INDEX(Scoring_Model!$Y$2:$Y$300,MATCH("Yes",Scoring_Model!$U$2:$U$300,0))),"No anchor found"))</f>
        <v/>
      </c>
      <c r="J198" s="2">
        <f>Scoring_Model!W198</f>
        <v/>
      </c>
      <c r="K198">
        <f>IF(Scoring_Model!V198&lt;&gt;"Yes","",IF(F198="High Value Bundle","1 anchor + 1 slow mover",IF(F198="Medium Value Bundle","1 anchor + 2 slow movers","1 anchor + 2 slow movers (aggressive clearout)")))</f>
        <v/>
      </c>
      <c r="L198">
        <f>IF(B198="","",IF(Scoring_Model!V198&lt;&gt;"Yes","Not a slow-mover bundle candidate","Bundle to move slow stock with controlled discount"))</f>
        <v/>
      </c>
    </row>
    <row r="199">
      <c r="A199">
        <f>IF(Scoring_Model!V199&lt;&gt;"Yes","","RB-"&amp;TEXT(COUNTIF(Scoring_Model!$V$2:$V199,"Yes"),"000000"))</f>
        <v/>
      </c>
      <c r="B199">
        <f>Scoring_Model!A199</f>
        <v/>
      </c>
      <c r="C199">
        <f>Scoring_Model!B199</f>
        <v/>
      </c>
      <c r="D199">
        <f>Scoring_Model!C199</f>
        <v/>
      </c>
      <c r="E199">
        <f>Scoring_Model!S199</f>
        <v/>
      </c>
      <c r="F199">
        <f>Scoring_Model!T199</f>
        <v/>
      </c>
      <c r="G199" s="2">
        <f>Scoring_Model!R199</f>
        <v/>
      </c>
      <c r="H199">
        <f>Scoring_Model!P199</f>
        <v/>
      </c>
      <c r="I199">
        <f>IF(Scoring_Model!V199&lt;&gt;"Yes","",IFERROR(XLOOKUP(D199&amp;"|anchor",Scoring_Model!$X$2:$X$300,Scoring_Model!$Y$2:$Y$300,INDEX(Scoring_Model!$Y$2:$Y$300,MATCH("Yes",Scoring_Model!$U$2:$U$300,0))),"No anchor found"))</f>
        <v/>
      </c>
      <c r="J199" s="2">
        <f>Scoring_Model!W199</f>
        <v/>
      </c>
      <c r="K199">
        <f>IF(Scoring_Model!V199&lt;&gt;"Yes","",IF(F199="High Value Bundle","1 anchor + 1 slow mover",IF(F199="Medium Value Bundle","1 anchor + 2 slow movers","1 anchor + 2 slow movers (aggressive clearout)")))</f>
        <v/>
      </c>
      <c r="L199">
        <f>IF(B199="","",IF(Scoring_Model!V199&lt;&gt;"Yes","Not a slow-mover bundle candidate","Bundle to move slow stock with controlled discount"))</f>
        <v/>
      </c>
    </row>
    <row r="200">
      <c r="A200">
        <f>IF(Scoring_Model!V200&lt;&gt;"Yes","","RB-"&amp;TEXT(COUNTIF(Scoring_Model!$V$2:$V200,"Yes"),"000000"))</f>
        <v/>
      </c>
      <c r="B200">
        <f>Scoring_Model!A200</f>
        <v/>
      </c>
      <c r="C200">
        <f>Scoring_Model!B200</f>
        <v/>
      </c>
      <c r="D200">
        <f>Scoring_Model!C200</f>
        <v/>
      </c>
      <c r="E200">
        <f>Scoring_Model!S200</f>
        <v/>
      </c>
      <c r="F200">
        <f>Scoring_Model!T200</f>
        <v/>
      </c>
      <c r="G200" s="2">
        <f>Scoring_Model!R200</f>
        <v/>
      </c>
      <c r="H200">
        <f>Scoring_Model!P200</f>
        <v/>
      </c>
      <c r="I200">
        <f>IF(Scoring_Model!V200&lt;&gt;"Yes","",IFERROR(XLOOKUP(D200&amp;"|anchor",Scoring_Model!$X$2:$X$300,Scoring_Model!$Y$2:$Y$300,INDEX(Scoring_Model!$Y$2:$Y$300,MATCH("Yes",Scoring_Model!$U$2:$U$300,0))),"No anchor found"))</f>
        <v/>
      </c>
      <c r="J200" s="2">
        <f>Scoring_Model!W200</f>
        <v/>
      </c>
      <c r="K200">
        <f>IF(Scoring_Model!V200&lt;&gt;"Yes","",IF(F200="High Value Bundle","1 anchor + 1 slow mover",IF(F200="Medium Value Bundle","1 anchor + 2 slow movers","1 anchor + 2 slow movers (aggressive clearout)")))</f>
        <v/>
      </c>
      <c r="L200">
        <f>IF(B200="","",IF(Scoring_Model!V200&lt;&gt;"Yes","Not a slow-mover bundle candidate","Bundle to move slow stock with controlled discount"))</f>
        <v/>
      </c>
    </row>
    <row r="201">
      <c r="A201">
        <f>IF(Scoring_Model!V201&lt;&gt;"Yes","","RB-"&amp;TEXT(COUNTIF(Scoring_Model!$V$2:$V201,"Yes"),"000000"))</f>
        <v/>
      </c>
      <c r="B201">
        <f>Scoring_Model!A201</f>
        <v/>
      </c>
      <c r="C201">
        <f>Scoring_Model!B201</f>
        <v/>
      </c>
      <c r="D201">
        <f>Scoring_Model!C201</f>
        <v/>
      </c>
      <c r="E201">
        <f>Scoring_Model!S201</f>
        <v/>
      </c>
      <c r="F201">
        <f>Scoring_Model!T201</f>
        <v/>
      </c>
      <c r="G201" s="2">
        <f>Scoring_Model!R201</f>
        <v/>
      </c>
      <c r="H201">
        <f>Scoring_Model!P201</f>
        <v/>
      </c>
      <c r="I201">
        <f>IF(Scoring_Model!V201&lt;&gt;"Yes","",IFERROR(XLOOKUP(D201&amp;"|anchor",Scoring_Model!$X$2:$X$300,Scoring_Model!$Y$2:$Y$300,INDEX(Scoring_Model!$Y$2:$Y$300,MATCH("Yes",Scoring_Model!$U$2:$U$300,0))),"No anchor found"))</f>
        <v/>
      </c>
      <c r="J201" s="2">
        <f>Scoring_Model!W201</f>
        <v/>
      </c>
      <c r="K201">
        <f>IF(Scoring_Model!V201&lt;&gt;"Yes","",IF(F201="High Value Bundle","1 anchor + 1 slow mover",IF(F201="Medium Value Bundle","1 anchor + 2 slow movers","1 anchor + 2 slow movers (aggressive clearout)")))</f>
        <v/>
      </c>
      <c r="L201">
        <f>IF(B201="","",IF(Scoring_Model!V201&lt;&gt;"Yes","Not a slow-mover bundle candidate","Bundle to move slow stock with controlled discount"))</f>
        <v/>
      </c>
    </row>
    <row r="202">
      <c r="A202">
        <f>IF(Scoring_Model!V202&lt;&gt;"Yes","","RB-"&amp;TEXT(COUNTIF(Scoring_Model!$V$2:$V202,"Yes"),"000000"))</f>
        <v/>
      </c>
      <c r="B202">
        <f>Scoring_Model!A202</f>
        <v/>
      </c>
      <c r="C202">
        <f>Scoring_Model!B202</f>
        <v/>
      </c>
      <c r="D202">
        <f>Scoring_Model!C202</f>
        <v/>
      </c>
      <c r="E202">
        <f>Scoring_Model!S202</f>
        <v/>
      </c>
      <c r="F202">
        <f>Scoring_Model!T202</f>
        <v/>
      </c>
      <c r="G202" s="2">
        <f>Scoring_Model!R202</f>
        <v/>
      </c>
      <c r="H202">
        <f>Scoring_Model!P202</f>
        <v/>
      </c>
      <c r="I202">
        <f>IF(Scoring_Model!V202&lt;&gt;"Yes","",IFERROR(XLOOKUP(D202&amp;"|anchor",Scoring_Model!$X$2:$X$300,Scoring_Model!$Y$2:$Y$300,INDEX(Scoring_Model!$Y$2:$Y$300,MATCH("Yes",Scoring_Model!$U$2:$U$300,0))),"No anchor found"))</f>
        <v/>
      </c>
      <c r="J202" s="2">
        <f>Scoring_Model!W202</f>
        <v/>
      </c>
      <c r="K202">
        <f>IF(Scoring_Model!V202&lt;&gt;"Yes","",IF(F202="High Value Bundle","1 anchor + 1 slow mover",IF(F202="Medium Value Bundle","1 anchor + 2 slow movers","1 anchor + 2 slow movers (aggressive clearout)")))</f>
        <v/>
      </c>
      <c r="L202">
        <f>IF(B202="","",IF(Scoring_Model!V202&lt;&gt;"Yes","Not a slow-mover bundle candidate","Bundle to move slow stock with controlled discount"))</f>
        <v/>
      </c>
    </row>
    <row r="203">
      <c r="A203">
        <f>IF(Scoring_Model!V203&lt;&gt;"Yes","","RB-"&amp;TEXT(COUNTIF(Scoring_Model!$V$2:$V203,"Yes"),"000000"))</f>
        <v/>
      </c>
      <c r="B203">
        <f>Scoring_Model!A203</f>
        <v/>
      </c>
      <c r="C203">
        <f>Scoring_Model!B203</f>
        <v/>
      </c>
      <c r="D203">
        <f>Scoring_Model!C203</f>
        <v/>
      </c>
      <c r="E203">
        <f>Scoring_Model!S203</f>
        <v/>
      </c>
      <c r="F203">
        <f>Scoring_Model!T203</f>
        <v/>
      </c>
      <c r="G203" s="2">
        <f>Scoring_Model!R203</f>
        <v/>
      </c>
      <c r="H203">
        <f>Scoring_Model!P203</f>
        <v/>
      </c>
      <c r="I203">
        <f>IF(Scoring_Model!V203&lt;&gt;"Yes","",IFERROR(XLOOKUP(D203&amp;"|anchor",Scoring_Model!$X$2:$X$300,Scoring_Model!$Y$2:$Y$300,INDEX(Scoring_Model!$Y$2:$Y$300,MATCH("Yes",Scoring_Model!$U$2:$U$300,0))),"No anchor found"))</f>
        <v/>
      </c>
      <c r="J203" s="2">
        <f>Scoring_Model!W203</f>
        <v/>
      </c>
      <c r="K203">
        <f>IF(Scoring_Model!V203&lt;&gt;"Yes","",IF(F203="High Value Bundle","1 anchor + 1 slow mover",IF(F203="Medium Value Bundle","1 anchor + 2 slow movers","1 anchor + 2 slow movers (aggressive clearout)")))</f>
        <v/>
      </c>
      <c r="L203">
        <f>IF(B203="","",IF(Scoring_Model!V203&lt;&gt;"Yes","Not a slow-mover bundle candidate","Bundle to move slow stock with controlled discount"))</f>
        <v/>
      </c>
    </row>
    <row r="204">
      <c r="A204">
        <f>IF(Scoring_Model!V204&lt;&gt;"Yes","","RB-"&amp;TEXT(COUNTIF(Scoring_Model!$V$2:$V204,"Yes"),"000000"))</f>
        <v/>
      </c>
      <c r="B204">
        <f>Scoring_Model!A204</f>
        <v/>
      </c>
      <c r="C204">
        <f>Scoring_Model!B204</f>
        <v/>
      </c>
      <c r="D204">
        <f>Scoring_Model!C204</f>
        <v/>
      </c>
      <c r="E204">
        <f>Scoring_Model!S204</f>
        <v/>
      </c>
      <c r="F204">
        <f>Scoring_Model!T204</f>
        <v/>
      </c>
      <c r="G204" s="2">
        <f>Scoring_Model!R204</f>
        <v/>
      </c>
      <c r="H204">
        <f>Scoring_Model!P204</f>
        <v/>
      </c>
      <c r="I204">
        <f>IF(Scoring_Model!V204&lt;&gt;"Yes","",IFERROR(XLOOKUP(D204&amp;"|anchor",Scoring_Model!$X$2:$X$300,Scoring_Model!$Y$2:$Y$300,INDEX(Scoring_Model!$Y$2:$Y$300,MATCH("Yes",Scoring_Model!$U$2:$U$300,0))),"No anchor found"))</f>
        <v/>
      </c>
      <c r="J204" s="2">
        <f>Scoring_Model!W204</f>
        <v/>
      </c>
      <c r="K204">
        <f>IF(Scoring_Model!V204&lt;&gt;"Yes","",IF(F204="High Value Bundle","1 anchor + 1 slow mover",IF(F204="Medium Value Bundle","1 anchor + 2 slow movers","1 anchor + 2 slow movers (aggressive clearout)")))</f>
        <v/>
      </c>
      <c r="L204">
        <f>IF(B204="","",IF(Scoring_Model!V204&lt;&gt;"Yes","Not a slow-mover bundle candidate","Bundle to move slow stock with controlled discount"))</f>
        <v/>
      </c>
    </row>
    <row r="205">
      <c r="A205">
        <f>IF(Scoring_Model!V205&lt;&gt;"Yes","","RB-"&amp;TEXT(COUNTIF(Scoring_Model!$V$2:$V205,"Yes"),"000000"))</f>
        <v/>
      </c>
      <c r="B205">
        <f>Scoring_Model!A205</f>
        <v/>
      </c>
      <c r="C205">
        <f>Scoring_Model!B205</f>
        <v/>
      </c>
      <c r="D205">
        <f>Scoring_Model!C205</f>
        <v/>
      </c>
      <c r="E205">
        <f>Scoring_Model!S205</f>
        <v/>
      </c>
      <c r="F205">
        <f>Scoring_Model!T205</f>
        <v/>
      </c>
      <c r="G205" s="2">
        <f>Scoring_Model!R205</f>
        <v/>
      </c>
      <c r="H205">
        <f>Scoring_Model!P205</f>
        <v/>
      </c>
      <c r="I205">
        <f>IF(Scoring_Model!V205&lt;&gt;"Yes","",IFERROR(XLOOKUP(D205&amp;"|anchor",Scoring_Model!$X$2:$X$300,Scoring_Model!$Y$2:$Y$300,INDEX(Scoring_Model!$Y$2:$Y$300,MATCH("Yes",Scoring_Model!$U$2:$U$300,0))),"No anchor found"))</f>
        <v/>
      </c>
      <c r="J205" s="2">
        <f>Scoring_Model!W205</f>
        <v/>
      </c>
      <c r="K205">
        <f>IF(Scoring_Model!V205&lt;&gt;"Yes","",IF(F205="High Value Bundle","1 anchor + 1 slow mover",IF(F205="Medium Value Bundle","1 anchor + 2 slow movers","1 anchor + 2 slow movers (aggressive clearout)")))</f>
        <v/>
      </c>
      <c r="L205">
        <f>IF(B205="","",IF(Scoring_Model!V205&lt;&gt;"Yes","Not a slow-mover bundle candidate","Bundle to move slow stock with controlled discount"))</f>
        <v/>
      </c>
    </row>
    <row r="206">
      <c r="A206">
        <f>IF(Scoring_Model!V206&lt;&gt;"Yes","","RB-"&amp;TEXT(COUNTIF(Scoring_Model!$V$2:$V206,"Yes"),"000000"))</f>
        <v/>
      </c>
      <c r="B206">
        <f>Scoring_Model!A206</f>
        <v/>
      </c>
      <c r="C206">
        <f>Scoring_Model!B206</f>
        <v/>
      </c>
      <c r="D206">
        <f>Scoring_Model!C206</f>
        <v/>
      </c>
      <c r="E206">
        <f>Scoring_Model!S206</f>
        <v/>
      </c>
      <c r="F206">
        <f>Scoring_Model!T206</f>
        <v/>
      </c>
      <c r="G206" s="2">
        <f>Scoring_Model!R206</f>
        <v/>
      </c>
      <c r="H206">
        <f>Scoring_Model!P206</f>
        <v/>
      </c>
      <c r="I206">
        <f>IF(Scoring_Model!V206&lt;&gt;"Yes","",IFERROR(XLOOKUP(D206&amp;"|anchor",Scoring_Model!$X$2:$X$300,Scoring_Model!$Y$2:$Y$300,INDEX(Scoring_Model!$Y$2:$Y$300,MATCH("Yes",Scoring_Model!$U$2:$U$300,0))),"No anchor found"))</f>
        <v/>
      </c>
      <c r="J206" s="2">
        <f>Scoring_Model!W206</f>
        <v/>
      </c>
      <c r="K206">
        <f>IF(Scoring_Model!V206&lt;&gt;"Yes","",IF(F206="High Value Bundle","1 anchor + 1 slow mover",IF(F206="Medium Value Bundle","1 anchor + 2 slow movers","1 anchor + 2 slow movers (aggressive clearout)")))</f>
        <v/>
      </c>
      <c r="L206">
        <f>IF(B206="","",IF(Scoring_Model!V206&lt;&gt;"Yes","Not a slow-mover bundle candidate","Bundle to move slow stock with controlled discount"))</f>
        <v/>
      </c>
    </row>
    <row r="207">
      <c r="A207">
        <f>IF(Scoring_Model!V207&lt;&gt;"Yes","","RB-"&amp;TEXT(COUNTIF(Scoring_Model!$V$2:$V207,"Yes"),"000000"))</f>
        <v/>
      </c>
      <c r="B207">
        <f>Scoring_Model!A207</f>
        <v/>
      </c>
      <c r="C207">
        <f>Scoring_Model!B207</f>
        <v/>
      </c>
      <c r="D207">
        <f>Scoring_Model!C207</f>
        <v/>
      </c>
      <c r="E207">
        <f>Scoring_Model!S207</f>
        <v/>
      </c>
      <c r="F207">
        <f>Scoring_Model!T207</f>
        <v/>
      </c>
      <c r="G207" s="2">
        <f>Scoring_Model!R207</f>
        <v/>
      </c>
      <c r="H207">
        <f>Scoring_Model!P207</f>
        <v/>
      </c>
      <c r="I207">
        <f>IF(Scoring_Model!V207&lt;&gt;"Yes","",IFERROR(XLOOKUP(D207&amp;"|anchor",Scoring_Model!$X$2:$X$300,Scoring_Model!$Y$2:$Y$300,INDEX(Scoring_Model!$Y$2:$Y$300,MATCH("Yes",Scoring_Model!$U$2:$U$300,0))),"No anchor found"))</f>
        <v/>
      </c>
      <c r="J207" s="2">
        <f>Scoring_Model!W207</f>
        <v/>
      </c>
      <c r="K207">
        <f>IF(Scoring_Model!V207&lt;&gt;"Yes","",IF(F207="High Value Bundle","1 anchor + 1 slow mover",IF(F207="Medium Value Bundle","1 anchor + 2 slow movers","1 anchor + 2 slow movers (aggressive clearout)")))</f>
        <v/>
      </c>
      <c r="L207">
        <f>IF(B207="","",IF(Scoring_Model!V207&lt;&gt;"Yes","Not a slow-mover bundle candidate","Bundle to move slow stock with controlled discount"))</f>
        <v/>
      </c>
    </row>
    <row r="208">
      <c r="A208">
        <f>IF(Scoring_Model!V208&lt;&gt;"Yes","","RB-"&amp;TEXT(COUNTIF(Scoring_Model!$V$2:$V208,"Yes"),"000000"))</f>
        <v/>
      </c>
      <c r="B208">
        <f>Scoring_Model!A208</f>
        <v/>
      </c>
      <c r="C208">
        <f>Scoring_Model!B208</f>
        <v/>
      </c>
      <c r="D208">
        <f>Scoring_Model!C208</f>
        <v/>
      </c>
      <c r="E208">
        <f>Scoring_Model!S208</f>
        <v/>
      </c>
      <c r="F208">
        <f>Scoring_Model!T208</f>
        <v/>
      </c>
      <c r="G208" s="2">
        <f>Scoring_Model!R208</f>
        <v/>
      </c>
      <c r="H208">
        <f>Scoring_Model!P208</f>
        <v/>
      </c>
      <c r="I208">
        <f>IF(Scoring_Model!V208&lt;&gt;"Yes","",IFERROR(XLOOKUP(D208&amp;"|anchor",Scoring_Model!$X$2:$X$300,Scoring_Model!$Y$2:$Y$300,INDEX(Scoring_Model!$Y$2:$Y$300,MATCH("Yes",Scoring_Model!$U$2:$U$300,0))),"No anchor found"))</f>
        <v/>
      </c>
      <c r="J208" s="2">
        <f>Scoring_Model!W208</f>
        <v/>
      </c>
      <c r="K208">
        <f>IF(Scoring_Model!V208&lt;&gt;"Yes","",IF(F208="High Value Bundle","1 anchor + 1 slow mover",IF(F208="Medium Value Bundle","1 anchor + 2 slow movers","1 anchor + 2 slow movers (aggressive clearout)")))</f>
        <v/>
      </c>
      <c r="L208">
        <f>IF(B208="","",IF(Scoring_Model!V208&lt;&gt;"Yes","Not a slow-mover bundle candidate","Bundle to move slow stock with controlled discount"))</f>
        <v/>
      </c>
    </row>
    <row r="209">
      <c r="A209">
        <f>IF(Scoring_Model!V209&lt;&gt;"Yes","","RB-"&amp;TEXT(COUNTIF(Scoring_Model!$V$2:$V209,"Yes"),"000000"))</f>
        <v/>
      </c>
      <c r="B209">
        <f>Scoring_Model!A209</f>
        <v/>
      </c>
      <c r="C209">
        <f>Scoring_Model!B209</f>
        <v/>
      </c>
      <c r="D209">
        <f>Scoring_Model!C209</f>
        <v/>
      </c>
      <c r="E209">
        <f>Scoring_Model!S209</f>
        <v/>
      </c>
      <c r="F209">
        <f>Scoring_Model!T209</f>
        <v/>
      </c>
      <c r="G209" s="2">
        <f>Scoring_Model!R209</f>
        <v/>
      </c>
      <c r="H209">
        <f>Scoring_Model!P209</f>
        <v/>
      </c>
      <c r="I209">
        <f>IF(Scoring_Model!V209&lt;&gt;"Yes","",IFERROR(XLOOKUP(D209&amp;"|anchor",Scoring_Model!$X$2:$X$300,Scoring_Model!$Y$2:$Y$300,INDEX(Scoring_Model!$Y$2:$Y$300,MATCH("Yes",Scoring_Model!$U$2:$U$300,0))),"No anchor found"))</f>
        <v/>
      </c>
      <c r="J209" s="2">
        <f>Scoring_Model!W209</f>
        <v/>
      </c>
      <c r="K209">
        <f>IF(Scoring_Model!V209&lt;&gt;"Yes","",IF(F209="High Value Bundle","1 anchor + 1 slow mover",IF(F209="Medium Value Bundle","1 anchor + 2 slow movers","1 anchor + 2 slow movers (aggressive clearout)")))</f>
        <v/>
      </c>
      <c r="L209">
        <f>IF(B209="","",IF(Scoring_Model!V209&lt;&gt;"Yes","Not a slow-mover bundle candidate","Bundle to move slow stock with controlled discount"))</f>
        <v/>
      </c>
    </row>
    <row r="210">
      <c r="A210">
        <f>IF(Scoring_Model!V210&lt;&gt;"Yes","","RB-"&amp;TEXT(COUNTIF(Scoring_Model!$V$2:$V210,"Yes"),"000000"))</f>
        <v/>
      </c>
      <c r="B210">
        <f>Scoring_Model!A210</f>
        <v/>
      </c>
      <c r="C210">
        <f>Scoring_Model!B210</f>
        <v/>
      </c>
      <c r="D210">
        <f>Scoring_Model!C210</f>
        <v/>
      </c>
      <c r="E210">
        <f>Scoring_Model!S210</f>
        <v/>
      </c>
      <c r="F210">
        <f>Scoring_Model!T210</f>
        <v/>
      </c>
      <c r="G210" s="2">
        <f>Scoring_Model!R210</f>
        <v/>
      </c>
      <c r="H210">
        <f>Scoring_Model!P210</f>
        <v/>
      </c>
      <c r="I210">
        <f>IF(Scoring_Model!V210&lt;&gt;"Yes","",IFERROR(XLOOKUP(D210&amp;"|anchor",Scoring_Model!$X$2:$X$300,Scoring_Model!$Y$2:$Y$300,INDEX(Scoring_Model!$Y$2:$Y$300,MATCH("Yes",Scoring_Model!$U$2:$U$300,0))),"No anchor found"))</f>
        <v/>
      </c>
      <c r="J210" s="2">
        <f>Scoring_Model!W210</f>
        <v/>
      </c>
      <c r="K210">
        <f>IF(Scoring_Model!V210&lt;&gt;"Yes","",IF(F210="High Value Bundle","1 anchor + 1 slow mover",IF(F210="Medium Value Bundle","1 anchor + 2 slow movers","1 anchor + 2 slow movers (aggressive clearout)")))</f>
        <v/>
      </c>
      <c r="L210">
        <f>IF(B210="","",IF(Scoring_Model!V210&lt;&gt;"Yes","Not a slow-mover bundle candidate","Bundle to move slow stock with controlled discount"))</f>
        <v/>
      </c>
    </row>
    <row r="211">
      <c r="A211">
        <f>IF(Scoring_Model!V211&lt;&gt;"Yes","","RB-"&amp;TEXT(COUNTIF(Scoring_Model!$V$2:$V211,"Yes"),"000000"))</f>
        <v/>
      </c>
      <c r="B211">
        <f>Scoring_Model!A211</f>
        <v/>
      </c>
      <c r="C211">
        <f>Scoring_Model!B211</f>
        <v/>
      </c>
      <c r="D211">
        <f>Scoring_Model!C211</f>
        <v/>
      </c>
      <c r="E211">
        <f>Scoring_Model!S211</f>
        <v/>
      </c>
      <c r="F211">
        <f>Scoring_Model!T211</f>
        <v/>
      </c>
      <c r="G211" s="2">
        <f>Scoring_Model!R211</f>
        <v/>
      </c>
      <c r="H211">
        <f>Scoring_Model!P211</f>
        <v/>
      </c>
      <c r="I211">
        <f>IF(Scoring_Model!V211&lt;&gt;"Yes","",IFERROR(XLOOKUP(D211&amp;"|anchor",Scoring_Model!$X$2:$X$300,Scoring_Model!$Y$2:$Y$300,INDEX(Scoring_Model!$Y$2:$Y$300,MATCH("Yes",Scoring_Model!$U$2:$U$300,0))),"No anchor found"))</f>
        <v/>
      </c>
      <c r="J211" s="2">
        <f>Scoring_Model!W211</f>
        <v/>
      </c>
      <c r="K211">
        <f>IF(Scoring_Model!V211&lt;&gt;"Yes","",IF(F211="High Value Bundle","1 anchor + 1 slow mover",IF(F211="Medium Value Bundle","1 anchor + 2 slow movers","1 anchor + 2 slow movers (aggressive clearout)")))</f>
        <v/>
      </c>
      <c r="L211">
        <f>IF(B211="","",IF(Scoring_Model!V211&lt;&gt;"Yes","Not a slow-mover bundle candidate","Bundle to move slow stock with controlled discount"))</f>
        <v/>
      </c>
    </row>
    <row r="212">
      <c r="A212">
        <f>IF(Scoring_Model!V212&lt;&gt;"Yes","","RB-"&amp;TEXT(COUNTIF(Scoring_Model!$V$2:$V212,"Yes"),"000000"))</f>
        <v/>
      </c>
      <c r="B212">
        <f>Scoring_Model!A212</f>
        <v/>
      </c>
      <c r="C212">
        <f>Scoring_Model!B212</f>
        <v/>
      </c>
      <c r="D212">
        <f>Scoring_Model!C212</f>
        <v/>
      </c>
      <c r="E212">
        <f>Scoring_Model!S212</f>
        <v/>
      </c>
      <c r="F212">
        <f>Scoring_Model!T212</f>
        <v/>
      </c>
      <c r="G212" s="2">
        <f>Scoring_Model!R212</f>
        <v/>
      </c>
      <c r="H212">
        <f>Scoring_Model!P212</f>
        <v/>
      </c>
      <c r="I212">
        <f>IF(Scoring_Model!V212&lt;&gt;"Yes","",IFERROR(XLOOKUP(D212&amp;"|anchor",Scoring_Model!$X$2:$X$300,Scoring_Model!$Y$2:$Y$300,INDEX(Scoring_Model!$Y$2:$Y$300,MATCH("Yes",Scoring_Model!$U$2:$U$300,0))),"No anchor found"))</f>
        <v/>
      </c>
      <c r="J212" s="2">
        <f>Scoring_Model!W212</f>
        <v/>
      </c>
      <c r="K212">
        <f>IF(Scoring_Model!V212&lt;&gt;"Yes","",IF(F212="High Value Bundle","1 anchor + 1 slow mover",IF(F212="Medium Value Bundle","1 anchor + 2 slow movers","1 anchor + 2 slow movers (aggressive clearout)")))</f>
        <v/>
      </c>
      <c r="L212">
        <f>IF(B212="","",IF(Scoring_Model!V212&lt;&gt;"Yes","Not a slow-mover bundle candidate","Bundle to move slow stock with controlled discount"))</f>
        <v/>
      </c>
    </row>
    <row r="213">
      <c r="A213">
        <f>IF(Scoring_Model!V213&lt;&gt;"Yes","","RB-"&amp;TEXT(COUNTIF(Scoring_Model!$V$2:$V213,"Yes"),"000000"))</f>
        <v/>
      </c>
      <c r="B213">
        <f>Scoring_Model!A213</f>
        <v/>
      </c>
      <c r="C213">
        <f>Scoring_Model!B213</f>
        <v/>
      </c>
      <c r="D213">
        <f>Scoring_Model!C213</f>
        <v/>
      </c>
      <c r="E213">
        <f>Scoring_Model!S213</f>
        <v/>
      </c>
      <c r="F213">
        <f>Scoring_Model!T213</f>
        <v/>
      </c>
      <c r="G213" s="2">
        <f>Scoring_Model!R213</f>
        <v/>
      </c>
      <c r="H213">
        <f>Scoring_Model!P213</f>
        <v/>
      </c>
      <c r="I213">
        <f>IF(Scoring_Model!V213&lt;&gt;"Yes","",IFERROR(XLOOKUP(D213&amp;"|anchor",Scoring_Model!$X$2:$X$300,Scoring_Model!$Y$2:$Y$300,INDEX(Scoring_Model!$Y$2:$Y$300,MATCH("Yes",Scoring_Model!$U$2:$U$300,0))),"No anchor found"))</f>
        <v/>
      </c>
      <c r="J213" s="2">
        <f>Scoring_Model!W213</f>
        <v/>
      </c>
      <c r="K213">
        <f>IF(Scoring_Model!V213&lt;&gt;"Yes","",IF(F213="High Value Bundle","1 anchor + 1 slow mover",IF(F213="Medium Value Bundle","1 anchor + 2 slow movers","1 anchor + 2 slow movers (aggressive clearout)")))</f>
        <v/>
      </c>
      <c r="L213">
        <f>IF(B213="","",IF(Scoring_Model!V213&lt;&gt;"Yes","Not a slow-mover bundle candidate","Bundle to move slow stock with controlled discount"))</f>
        <v/>
      </c>
    </row>
    <row r="214">
      <c r="A214">
        <f>IF(Scoring_Model!V214&lt;&gt;"Yes","","RB-"&amp;TEXT(COUNTIF(Scoring_Model!$V$2:$V214,"Yes"),"000000"))</f>
        <v/>
      </c>
      <c r="B214">
        <f>Scoring_Model!A214</f>
        <v/>
      </c>
      <c r="C214">
        <f>Scoring_Model!B214</f>
        <v/>
      </c>
      <c r="D214">
        <f>Scoring_Model!C214</f>
        <v/>
      </c>
      <c r="E214">
        <f>Scoring_Model!S214</f>
        <v/>
      </c>
      <c r="F214">
        <f>Scoring_Model!T214</f>
        <v/>
      </c>
      <c r="G214" s="2">
        <f>Scoring_Model!R214</f>
        <v/>
      </c>
      <c r="H214">
        <f>Scoring_Model!P214</f>
        <v/>
      </c>
      <c r="I214">
        <f>IF(Scoring_Model!V214&lt;&gt;"Yes","",IFERROR(XLOOKUP(D214&amp;"|anchor",Scoring_Model!$X$2:$X$300,Scoring_Model!$Y$2:$Y$300,INDEX(Scoring_Model!$Y$2:$Y$300,MATCH("Yes",Scoring_Model!$U$2:$U$300,0))),"No anchor found"))</f>
        <v/>
      </c>
      <c r="J214" s="2">
        <f>Scoring_Model!W214</f>
        <v/>
      </c>
      <c r="K214">
        <f>IF(Scoring_Model!V214&lt;&gt;"Yes","",IF(F214="High Value Bundle","1 anchor + 1 slow mover",IF(F214="Medium Value Bundle","1 anchor + 2 slow movers","1 anchor + 2 slow movers (aggressive clearout)")))</f>
        <v/>
      </c>
      <c r="L214">
        <f>IF(B214="","",IF(Scoring_Model!V214&lt;&gt;"Yes","Not a slow-mover bundle candidate","Bundle to move slow stock with controlled discount"))</f>
        <v/>
      </c>
    </row>
    <row r="215">
      <c r="A215">
        <f>IF(Scoring_Model!V215&lt;&gt;"Yes","","RB-"&amp;TEXT(COUNTIF(Scoring_Model!$V$2:$V215,"Yes"),"000000"))</f>
        <v/>
      </c>
      <c r="B215">
        <f>Scoring_Model!A215</f>
        <v/>
      </c>
      <c r="C215">
        <f>Scoring_Model!B215</f>
        <v/>
      </c>
      <c r="D215">
        <f>Scoring_Model!C215</f>
        <v/>
      </c>
      <c r="E215">
        <f>Scoring_Model!S215</f>
        <v/>
      </c>
      <c r="F215">
        <f>Scoring_Model!T215</f>
        <v/>
      </c>
      <c r="G215" s="2">
        <f>Scoring_Model!R215</f>
        <v/>
      </c>
      <c r="H215">
        <f>Scoring_Model!P215</f>
        <v/>
      </c>
      <c r="I215">
        <f>IF(Scoring_Model!V215&lt;&gt;"Yes","",IFERROR(XLOOKUP(D215&amp;"|anchor",Scoring_Model!$X$2:$X$300,Scoring_Model!$Y$2:$Y$300,INDEX(Scoring_Model!$Y$2:$Y$300,MATCH("Yes",Scoring_Model!$U$2:$U$300,0))),"No anchor found"))</f>
        <v/>
      </c>
      <c r="J215" s="2">
        <f>Scoring_Model!W215</f>
        <v/>
      </c>
      <c r="K215">
        <f>IF(Scoring_Model!V215&lt;&gt;"Yes","",IF(F215="High Value Bundle","1 anchor + 1 slow mover",IF(F215="Medium Value Bundle","1 anchor + 2 slow movers","1 anchor + 2 slow movers (aggressive clearout)")))</f>
        <v/>
      </c>
      <c r="L215">
        <f>IF(B215="","",IF(Scoring_Model!V215&lt;&gt;"Yes","Not a slow-mover bundle candidate","Bundle to move slow stock with controlled discount"))</f>
        <v/>
      </c>
    </row>
    <row r="216">
      <c r="A216">
        <f>IF(Scoring_Model!V216&lt;&gt;"Yes","","RB-"&amp;TEXT(COUNTIF(Scoring_Model!$V$2:$V216,"Yes"),"000000"))</f>
        <v/>
      </c>
      <c r="B216">
        <f>Scoring_Model!A216</f>
        <v/>
      </c>
      <c r="C216">
        <f>Scoring_Model!B216</f>
        <v/>
      </c>
      <c r="D216">
        <f>Scoring_Model!C216</f>
        <v/>
      </c>
      <c r="E216">
        <f>Scoring_Model!S216</f>
        <v/>
      </c>
      <c r="F216">
        <f>Scoring_Model!T216</f>
        <v/>
      </c>
      <c r="G216" s="2">
        <f>Scoring_Model!R216</f>
        <v/>
      </c>
      <c r="H216">
        <f>Scoring_Model!P216</f>
        <v/>
      </c>
      <c r="I216">
        <f>IF(Scoring_Model!V216&lt;&gt;"Yes","",IFERROR(XLOOKUP(D216&amp;"|anchor",Scoring_Model!$X$2:$X$300,Scoring_Model!$Y$2:$Y$300,INDEX(Scoring_Model!$Y$2:$Y$300,MATCH("Yes",Scoring_Model!$U$2:$U$300,0))),"No anchor found"))</f>
        <v/>
      </c>
      <c r="J216" s="2">
        <f>Scoring_Model!W216</f>
        <v/>
      </c>
      <c r="K216">
        <f>IF(Scoring_Model!V216&lt;&gt;"Yes","",IF(F216="High Value Bundle","1 anchor + 1 slow mover",IF(F216="Medium Value Bundle","1 anchor + 2 slow movers","1 anchor + 2 slow movers (aggressive clearout)")))</f>
        <v/>
      </c>
      <c r="L216">
        <f>IF(B216="","",IF(Scoring_Model!V216&lt;&gt;"Yes","Not a slow-mover bundle candidate","Bundle to move slow stock with controlled discount"))</f>
        <v/>
      </c>
    </row>
    <row r="217">
      <c r="A217">
        <f>IF(Scoring_Model!V217&lt;&gt;"Yes","","RB-"&amp;TEXT(COUNTIF(Scoring_Model!$V$2:$V217,"Yes"),"000000"))</f>
        <v/>
      </c>
      <c r="B217">
        <f>Scoring_Model!A217</f>
        <v/>
      </c>
      <c r="C217">
        <f>Scoring_Model!B217</f>
        <v/>
      </c>
      <c r="D217">
        <f>Scoring_Model!C217</f>
        <v/>
      </c>
      <c r="E217">
        <f>Scoring_Model!S217</f>
        <v/>
      </c>
      <c r="F217">
        <f>Scoring_Model!T217</f>
        <v/>
      </c>
      <c r="G217" s="2">
        <f>Scoring_Model!R217</f>
        <v/>
      </c>
      <c r="H217">
        <f>Scoring_Model!P217</f>
        <v/>
      </c>
      <c r="I217">
        <f>IF(Scoring_Model!V217&lt;&gt;"Yes","",IFERROR(XLOOKUP(D217&amp;"|anchor",Scoring_Model!$X$2:$X$300,Scoring_Model!$Y$2:$Y$300,INDEX(Scoring_Model!$Y$2:$Y$300,MATCH("Yes",Scoring_Model!$U$2:$U$300,0))),"No anchor found"))</f>
        <v/>
      </c>
      <c r="J217" s="2">
        <f>Scoring_Model!W217</f>
        <v/>
      </c>
      <c r="K217">
        <f>IF(Scoring_Model!V217&lt;&gt;"Yes","",IF(F217="High Value Bundle","1 anchor + 1 slow mover",IF(F217="Medium Value Bundle","1 anchor + 2 slow movers","1 anchor + 2 slow movers (aggressive clearout)")))</f>
        <v/>
      </c>
      <c r="L217">
        <f>IF(B217="","",IF(Scoring_Model!V217&lt;&gt;"Yes","Not a slow-mover bundle candidate","Bundle to move slow stock with controlled discount"))</f>
        <v/>
      </c>
    </row>
    <row r="218">
      <c r="A218">
        <f>IF(Scoring_Model!V218&lt;&gt;"Yes","","RB-"&amp;TEXT(COUNTIF(Scoring_Model!$V$2:$V218,"Yes"),"000000"))</f>
        <v/>
      </c>
      <c r="B218">
        <f>Scoring_Model!A218</f>
        <v/>
      </c>
      <c r="C218">
        <f>Scoring_Model!B218</f>
        <v/>
      </c>
      <c r="D218">
        <f>Scoring_Model!C218</f>
        <v/>
      </c>
      <c r="E218">
        <f>Scoring_Model!S218</f>
        <v/>
      </c>
      <c r="F218">
        <f>Scoring_Model!T218</f>
        <v/>
      </c>
      <c r="G218" s="2">
        <f>Scoring_Model!R218</f>
        <v/>
      </c>
      <c r="H218">
        <f>Scoring_Model!P218</f>
        <v/>
      </c>
      <c r="I218">
        <f>IF(Scoring_Model!V218&lt;&gt;"Yes","",IFERROR(XLOOKUP(D218&amp;"|anchor",Scoring_Model!$X$2:$X$300,Scoring_Model!$Y$2:$Y$300,INDEX(Scoring_Model!$Y$2:$Y$300,MATCH("Yes",Scoring_Model!$U$2:$U$300,0))),"No anchor found"))</f>
        <v/>
      </c>
      <c r="J218" s="2">
        <f>Scoring_Model!W218</f>
        <v/>
      </c>
      <c r="K218">
        <f>IF(Scoring_Model!V218&lt;&gt;"Yes","",IF(F218="High Value Bundle","1 anchor + 1 slow mover",IF(F218="Medium Value Bundle","1 anchor + 2 slow movers","1 anchor + 2 slow movers (aggressive clearout)")))</f>
        <v/>
      </c>
      <c r="L218">
        <f>IF(B218="","",IF(Scoring_Model!V218&lt;&gt;"Yes","Not a slow-mover bundle candidate","Bundle to move slow stock with controlled discount"))</f>
        <v/>
      </c>
    </row>
    <row r="219">
      <c r="A219">
        <f>IF(Scoring_Model!V219&lt;&gt;"Yes","","RB-"&amp;TEXT(COUNTIF(Scoring_Model!$V$2:$V219,"Yes"),"000000"))</f>
        <v/>
      </c>
      <c r="B219">
        <f>Scoring_Model!A219</f>
        <v/>
      </c>
      <c r="C219">
        <f>Scoring_Model!B219</f>
        <v/>
      </c>
      <c r="D219">
        <f>Scoring_Model!C219</f>
        <v/>
      </c>
      <c r="E219">
        <f>Scoring_Model!S219</f>
        <v/>
      </c>
      <c r="F219">
        <f>Scoring_Model!T219</f>
        <v/>
      </c>
      <c r="G219" s="2">
        <f>Scoring_Model!R219</f>
        <v/>
      </c>
      <c r="H219">
        <f>Scoring_Model!P219</f>
        <v/>
      </c>
      <c r="I219">
        <f>IF(Scoring_Model!V219&lt;&gt;"Yes","",IFERROR(XLOOKUP(D219&amp;"|anchor",Scoring_Model!$X$2:$X$300,Scoring_Model!$Y$2:$Y$300,INDEX(Scoring_Model!$Y$2:$Y$300,MATCH("Yes",Scoring_Model!$U$2:$U$300,0))),"No anchor found"))</f>
        <v/>
      </c>
      <c r="J219" s="2">
        <f>Scoring_Model!W219</f>
        <v/>
      </c>
      <c r="K219">
        <f>IF(Scoring_Model!V219&lt;&gt;"Yes","",IF(F219="High Value Bundle","1 anchor + 1 slow mover",IF(F219="Medium Value Bundle","1 anchor + 2 slow movers","1 anchor + 2 slow movers (aggressive clearout)")))</f>
        <v/>
      </c>
      <c r="L219">
        <f>IF(B219="","",IF(Scoring_Model!V219&lt;&gt;"Yes","Not a slow-mover bundle candidate","Bundle to move slow stock with controlled discount"))</f>
        <v/>
      </c>
    </row>
    <row r="220">
      <c r="A220">
        <f>IF(Scoring_Model!V220&lt;&gt;"Yes","","RB-"&amp;TEXT(COUNTIF(Scoring_Model!$V$2:$V220,"Yes"),"000000"))</f>
        <v/>
      </c>
      <c r="B220">
        <f>Scoring_Model!A220</f>
        <v/>
      </c>
      <c r="C220">
        <f>Scoring_Model!B220</f>
        <v/>
      </c>
      <c r="D220">
        <f>Scoring_Model!C220</f>
        <v/>
      </c>
      <c r="E220">
        <f>Scoring_Model!S220</f>
        <v/>
      </c>
      <c r="F220">
        <f>Scoring_Model!T220</f>
        <v/>
      </c>
      <c r="G220" s="2">
        <f>Scoring_Model!R220</f>
        <v/>
      </c>
      <c r="H220">
        <f>Scoring_Model!P220</f>
        <v/>
      </c>
      <c r="I220">
        <f>IF(Scoring_Model!V220&lt;&gt;"Yes","",IFERROR(XLOOKUP(D220&amp;"|anchor",Scoring_Model!$X$2:$X$300,Scoring_Model!$Y$2:$Y$300,INDEX(Scoring_Model!$Y$2:$Y$300,MATCH("Yes",Scoring_Model!$U$2:$U$300,0))),"No anchor found"))</f>
        <v/>
      </c>
      <c r="J220" s="2">
        <f>Scoring_Model!W220</f>
        <v/>
      </c>
      <c r="K220">
        <f>IF(Scoring_Model!V220&lt;&gt;"Yes","",IF(F220="High Value Bundle","1 anchor + 1 slow mover",IF(F220="Medium Value Bundle","1 anchor + 2 slow movers","1 anchor + 2 slow movers (aggressive clearout)")))</f>
        <v/>
      </c>
      <c r="L220">
        <f>IF(B220="","",IF(Scoring_Model!V220&lt;&gt;"Yes","Not a slow-mover bundle candidate","Bundle to move slow stock with controlled discount"))</f>
        <v/>
      </c>
    </row>
    <row r="221">
      <c r="A221">
        <f>IF(Scoring_Model!V221&lt;&gt;"Yes","","RB-"&amp;TEXT(COUNTIF(Scoring_Model!$V$2:$V221,"Yes"),"000000"))</f>
        <v/>
      </c>
      <c r="B221">
        <f>Scoring_Model!A221</f>
        <v/>
      </c>
      <c r="C221">
        <f>Scoring_Model!B221</f>
        <v/>
      </c>
      <c r="D221">
        <f>Scoring_Model!C221</f>
        <v/>
      </c>
      <c r="E221">
        <f>Scoring_Model!S221</f>
        <v/>
      </c>
      <c r="F221">
        <f>Scoring_Model!T221</f>
        <v/>
      </c>
      <c r="G221" s="2">
        <f>Scoring_Model!R221</f>
        <v/>
      </c>
      <c r="H221">
        <f>Scoring_Model!P221</f>
        <v/>
      </c>
      <c r="I221">
        <f>IF(Scoring_Model!V221&lt;&gt;"Yes","",IFERROR(XLOOKUP(D221&amp;"|anchor",Scoring_Model!$X$2:$X$300,Scoring_Model!$Y$2:$Y$300,INDEX(Scoring_Model!$Y$2:$Y$300,MATCH("Yes",Scoring_Model!$U$2:$U$300,0))),"No anchor found"))</f>
        <v/>
      </c>
      <c r="J221" s="2">
        <f>Scoring_Model!W221</f>
        <v/>
      </c>
      <c r="K221">
        <f>IF(Scoring_Model!V221&lt;&gt;"Yes","",IF(F221="High Value Bundle","1 anchor + 1 slow mover",IF(F221="Medium Value Bundle","1 anchor + 2 slow movers","1 anchor + 2 slow movers (aggressive clearout)")))</f>
        <v/>
      </c>
      <c r="L221">
        <f>IF(B221="","",IF(Scoring_Model!V221&lt;&gt;"Yes","Not a slow-mover bundle candidate","Bundle to move slow stock with controlled discount"))</f>
        <v/>
      </c>
    </row>
    <row r="222">
      <c r="A222">
        <f>IF(Scoring_Model!V222&lt;&gt;"Yes","","RB-"&amp;TEXT(COUNTIF(Scoring_Model!$V$2:$V222,"Yes"),"000000"))</f>
        <v/>
      </c>
      <c r="B222">
        <f>Scoring_Model!A222</f>
        <v/>
      </c>
      <c r="C222">
        <f>Scoring_Model!B222</f>
        <v/>
      </c>
      <c r="D222">
        <f>Scoring_Model!C222</f>
        <v/>
      </c>
      <c r="E222">
        <f>Scoring_Model!S222</f>
        <v/>
      </c>
      <c r="F222">
        <f>Scoring_Model!T222</f>
        <v/>
      </c>
      <c r="G222" s="2">
        <f>Scoring_Model!R222</f>
        <v/>
      </c>
      <c r="H222">
        <f>Scoring_Model!P222</f>
        <v/>
      </c>
      <c r="I222">
        <f>IF(Scoring_Model!V222&lt;&gt;"Yes","",IFERROR(XLOOKUP(D222&amp;"|anchor",Scoring_Model!$X$2:$X$300,Scoring_Model!$Y$2:$Y$300,INDEX(Scoring_Model!$Y$2:$Y$300,MATCH("Yes",Scoring_Model!$U$2:$U$300,0))),"No anchor found"))</f>
        <v/>
      </c>
      <c r="J222" s="2">
        <f>Scoring_Model!W222</f>
        <v/>
      </c>
      <c r="K222">
        <f>IF(Scoring_Model!V222&lt;&gt;"Yes","",IF(F222="High Value Bundle","1 anchor + 1 slow mover",IF(F222="Medium Value Bundle","1 anchor + 2 slow movers","1 anchor + 2 slow movers (aggressive clearout)")))</f>
        <v/>
      </c>
      <c r="L222">
        <f>IF(B222="","",IF(Scoring_Model!V222&lt;&gt;"Yes","Not a slow-mover bundle candidate","Bundle to move slow stock with controlled discount"))</f>
        <v/>
      </c>
    </row>
    <row r="223">
      <c r="A223">
        <f>IF(Scoring_Model!V223&lt;&gt;"Yes","","RB-"&amp;TEXT(COUNTIF(Scoring_Model!$V$2:$V223,"Yes"),"000000"))</f>
        <v/>
      </c>
      <c r="B223">
        <f>Scoring_Model!A223</f>
        <v/>
      </c>
      <c r="C223">
        <f>Scoring_Model!B223</f>
        <v/>
      </c>
      <c r="D223">
        <f>Scoring_Model!C223</f>
        <v/>
      </c>
      <c r="E223">
        <f>Scoring_Model!S223</f>
        <v/>
      </c>
      <c r="F223">
        <f>Scoring_Model!T223</f>
        <v/>
      </c>
      <c r="G223" s="2">
        <f>Scoring_Model!R223</f>
        <v/>
      </c>
      <c r="H223">
        <f>Scoring_Model!P223</f>
        <v/>
      </c>
      <c r="I223">
        <f>IF(Scoring_Model!V223&lt;&gt;"Yes","",IFERROR(XLOOKUP(D223&amp;"|anchor",Scoring_Model!$X$2:$X$300,Scoring_Model!$Y$2:$Y$300,INDEX(Scoring_Model!$Y$2:$Y$300,MATCH("Yes",Scoring_Model!$U$2:$U$300,0))),"No anchor found"))</f>
        <v/>
      </c>
      <c r="J223" s="2">
        <f>Scoring_Model!W223</f>
        <v/>
      </c>
      <c r="K223">
        <f>IF(Scoring_Model!V223&lt;&gt;"Yes","",IF(F223="High Value Bundle","1 anchor + 1 slow mover",IF(F223="Medium Value Bundle","1 anchor + 2 slow movers","1 anchor + 2 slow movers (aggressive clearout)")))</f>
        <v/>
      </c>
      <c r="L223">
        <f>IF(B223="","",IF(Scoring_Model!V223&lt;&gt;"Yes","Not a slow-mover bundle candidate","Bundle to move slow stock with controlled discount"))</f>
        <v/>
      </c>
    </row>
    <row r="224">
      <c r="A224">
        <f>IF(Scoring_Model!V224&lt;&gt;"Yes","","RB-"&amp;TEXT(COUNTIF(Scoring_Model!$V$2:$V224,"Yes"),"000000"))</f>
        <v/>
      </c>
      <c r="B224">
        <f>Scoring_Model!A224</f>
        <v/>
      </c>
      <c r="C224">
        <f>Scoring_Model!B224</f>
        <v/>
      </c>
      <c r="D224">
        <f>Scoring_Model!C224</f>
        <v/>
      </c>
      <c r="E224">
        <f>Scoring_Model!S224</f>
        <v/>
      </c>
      <c r="F224">
        <f>Scoring_Model!T224</f>
        <v/>
      </c>
      <c r="G224" s="2">
        <f>Scoring_Model!R224</f>
        <v/>
      </c>
      <c r="H224">
        <f>Scoring_Model!P224</f>
        <v/>
      </c>
      <c r="I224">
        <f>IF(Scoring_Model!V224&lt;&gt;"Yes","",IFERROR(XLOOKUP(D224&amp;"|anchor",Scoring_Model!$X$2:$X$300,Scoring_Model!$Y$2:$Y$300,INDEX(Scoring_Model!$Y$2:$Y$300,MATCH("Yes",Scoring_Model!$U$2:$U$300,0))),"No anchor found"))</f>
        <v/>
      </c>
      <c r="J224" s="2">
        <f>Scoring_Model!W224</f>
        <v/>
      </c>
      <c r="K224">
        <f>IF(Scoring_Model!V224&lt;&gt;"Yes","",IF(F224="High Value Bundle","1 anchor + 1 slow mover",IF(F224="Medium Value Bundle","1 anchor + 2 slow movers","1 anchor + 2 slow movers (aggressive clearout)")))</f>
        <v/>
      </c>
      <c r="L224">
        <f>IF(B224="","",IF(Scoring_Model!V224&lt;&gt;"Yes","Not a slow-mover bundle candidate","Bundle to move slow stock with controlled discount"))</f>
        <v/>
      </c>
    </row>
    <row r="225">
      <c r="A225">
        <f>IF(Scoring_Model!V225&lt;&gt;"Yes","","RB-"&amp;TEXT(COUNTIF(Scoring_Model!$V$2:$V225,"Yes"),"000000"))</f>
        <v/>
      </c>
      <c r="B225">
        <f>Scoring_Model!A225</f>
        <v/>
      </c>
      <c r="C225">
        <f>Scoring_Model!B225</f>
        <v/>
      </c>
      <c r="D225">
        <f>Scoring_Model!C225</f>
        <v/>
      </c>
      <c r="E225">
        <f>Scoring_Model!S225</f>
        <v/>
      </c>
      <c r="F225">
        <f>Scoring_Model!T225</f>
        <v/>
      </c>
      <c r="G225" s="2">
        <f>Scoring_Model!R225</f>
        <v/>
      </c>
      <c r="H225">
        <f>Scoring_Model!P225</f>
        <v/>
      </c>
      <c r="I225">
        <f>IF(Scoring_Model!V225&lt;&gt;"Yes","",IFERROR(XLOOKUP(D225&amp;"|anchor",Scoring_Model!$X$2:$X$300,Scoring_Model!$Y$2:$Y$300,INDEX(Scoring_Model!$Y$2:$Y$300,MATCH("Yes",Scoring_Model!$U$2:$U$300,0))),"No anchor found"))</f>
        <v/>
      </c>
      <c r="J225" s="2">
        <f>Scoring_Model!W225</f>
        <v/>
      </c>
      <c r="K225">
        <f>IF(Scoring_Model!V225&lt;&gt;"Yes","",IF(F225="High Value Bundle","1 anchor + 1 slow mover",IF(F225="Medium Value Bundle","1 anchor + 2 slow movers","1 anchor + 2 slow movers (aggressive clearout)")))</f>
        <v/>
      </c>
      <c r="L225">
        <f>IF(B225="","",IF(Scoring_Model!V225&lt;&gt;"Yes","Not a slow-mover bundle candidate","Bundle to move slow stock with controlled discount"))</f>
        <v/>
      </c>
    </row>
    <row r="226">
      <c r="A226">
        <f>IF(Scoring_Model!V226&lt;&gt;"Yes","","RB-"&amp;TEXT(COUNTIF(Scoring_Model!$V$2:$V226,"Yes"),"000000"))</f>
        <v/>
      </c>
      <c r="B226">
        <f>Scoring_Model!A226</f>
        <v/>
      </c>
      <c r="C226">
        <f>Scoring_Model!B226</f>
        <v/>
      </c>
      <c r="D226">
        <f>Scoring_Model!C226</f>
        <v/>
      </c>
      <c r="E226">
        <f>Scoring_Model!S226</f>
        <v/>
      </c>
      <c r="F226">
        <f>Scoring_Model!T226</f>
        <v/>
      </c>
      <c r="G226" s="2">
        <f>Scoring_Model!R226</f>
        <v/>
      </c>
      <c r="H226">
        <f>Scoring_Model!P226</f>
        <v/>
      </c>
      <c r="I226">
        <f>IF(Scoring_Model!V226&lt;&gt;"Yes","",IFERROR(XLOOKUP(D226&amp;"|anchor",Scoring_Model!$X$2:$X$300,Scoring_Model!$Y$2:$Y$300,INDEX(Scoring_Model!$Y$2:$Y$300,MATCH("Yes",Scoring_Model!$U$2:$U$300,0))),"No anchor found"))</f>
        <v/>
      </c>
      <c r="J226" s="2">
        <f>Scoring_Model!W226</f>
        <v/>
      </c>
      <c r="K226">
        <f>IF(Scoring_Model!V226&lt;&gt;"Yes","",IF(F226="High Value Bundle","1 anchor + 1 slow mover",IF(F226="Medium Value Bundle","1 anchor + 2 slow movers","1 anchor + 2 slow movers (aggressive clearout)")))</f>
        <v/>
      </c>
      <c r="L226">
        <f>IF(B226="","",IF(Scoring_Model!V226&lt;&gt;"Yes","Not a slow-mover bundle candidate","Bundle to move slow stock with controlled discount"))</f>
        <v/>
      </c>
    </row>
    <row r="227">
      <c r="A227">
        <f>IF(Scoring_Model!V227&lt;&gt;"Yes","","RB-"&amp;TEXT(COUNTIF(Scoring_Model!$V$2:$V227,"Yes"),"000000"))</f>
        <v/>
      </c>
      <c r="B227">
        <f>Scoring_Model!A227</f>
        <v/>
      </c>
      <c r="C227">
        <f>Scoring_Model!B227</f>
        <v/>
      </c>
      <c r="D227">
        <f>Scoring_Model!C227</f>
        <v/>
      </c>
      <c r="E227">
        <f>Scoring_Model!S227</f>
        <v/>
      </c>
      <c r="F227">
        <f>Scoring_Model!T227</f>
        <v/>
      </c>
      <c r="G227" s="2">
        <f>Scoring_Model!R227</f>
        <v/>
      </c>
      <c r="H227">
        <f>Scoring_Model!P227</f>
        <v/>
      </c>
      <c r="I227">
        <f>IF(Scoring_Model!V227&lt;&gt;"Yes","",IFERROR(XLOOKUP(D227&amp;"|anchor",Scoring_Model!$X$2:$X$300,Scoring_Model!$Y$2:$Y$300,INDEX(Scoring_Model!$Y$2:$Y$300,MATCH("Yes",Scoring_Model!$U$2:$U$300,0))),"No anchor found"))</f>
        <v/>
      </c>
      <c r="J227" s="2">
        <f>Scoring_Model!W227</f>
        <v/>
      </c>
      <c r="K227">
        <f>IF(Scoring_Model!V227&lt;&gt;"Yes","",IF(F227="High Value Bundle","1 anchor + 1 slow mover",IF(F227="Medium Value Bundle","1 anchor + 2 slow movers","1 anchor + 2 slow movers (aggressive clearout)")))</f>
        <v/>
      </c>
      <c r="L227">
        <f>IF(B227="","",IF(Scoring_Model!V227&lt;&gt;"Yes","Not a slow-mover bundle candidate","Bundle to move slow stock with controlled discount"))</f>
        <v/>
      </c>
    </row>
    <row r="228">
      <c r="A228">
        <f>IF(Scoring_Model!V228&lt;&gt;"Yes","","RB-"&amp;TEXT(COUNTIF(Scoring_Model!$V$2:$V228,"Yes"),"000000"))</f>
        <v/>
      </c>
      <c r="B228">
        <f>Scoring_Model!A228</f>
        <v/>
      </c>
      <c r="C228">
        <f>Scoring_Model!B228</f>
        <v/>
      </c>
      <c r="D228">
        <f>Scoring_Model!C228</f>
        <v/>
      </c>
      <c r="E228">
        <f>Scoring_Model!S228</f>
        <v/>
      </c>
      <c r="F228">
        <f>Scoring_Model!T228</f>
        <v/>
      </c>
      <c r="G228" s="2">
        <f>Scoring_Model!R228</f>
        <v/>
      </c>
      <c r="H228">
        <f>Scoring_Model!P228</f>
        <v/>
      </c>
      <c r="I228">
        <f>IF(Scoring_Model!V228&lt;&gt;"Yes","",IFERROR(XLOOKUP(D228&amp;"|anchor",Scoring_Model!$X$2:$X$300,Scoring_Model!$Y$2:$Y$300,INDEX(Scoring_Model!$Y$2:$Y$300,MATCH("Yes",Scoring_Model!$U$2:$U$300,0))),"No anchor found"))</f>
        <v/>
      </c>
      <c r="J228" s="2">
        <f>Scoring_Model!W228</f>
        <v/>
      </c>
      <c r="K228">
        <f>IF(Scoring_Model!V228&lt;&gt;"Yes","",IF(F228="High Value Bundle","1 anchor + 1 slow mover",IF(F228="Medium Value Bundle","1 anchor + 2 slow movers","1 anchor + 2 slow movers (aggressive clearout)")))</f>
        <v/>
      </c>
      <c r="L228">
        <f>IF(B228="","",IF(Scoring_Model!V228&lt;&gt;"Yes","Not a slow-mover bundle candidate","Bundle to move slow stock with controlled discount"))</f>
        <v/>
      </c>
    </row>
    <row r="229">
      <c r="A229">
        <f>IF(Scoring_Model!V229&lt;&gt;"Yes","","RB-"&amp;TEXT(COUNTIF(Scoring_Model!$V$2:$V229,"Yes"),"000000"))</f>
        <v/>
      </c>
      <c r="B229">
        <f>Scoring_Model!A229</f>
        <v/>
      </c>
      <c r="C229">
        <f>Scoring_Model!B229</f>
        <v/>
      </c>
      <c r="D229">
        <f>Scoring_Model!C229</f>
        <v/>
      </c>
      <c r="E229">
        <f>Scoring_Model!S229</f>
        <v/>
      </c>
      <c r="F229">
        <f>Scoring_Model!T229</f>
        <v/>
      </c>
      <c r="G229" s="2">
        <f>Scoring_Model!R229</f>
        <v/>
      </c>
      <c r="H229">
        <f>Scoring_Model!P229</f>
        <v/>
      </c>
      <c r="I229">
        <f>IF(Scoring_Model!V229&lt;&gt;"Yes","",IFERROR(XLOOKUP(D229&amp;"|anchor",Scoring_Model!$X$2:$X$300,Scoring_Model!$Y$2:$Y$300,INDEX(Scoring_Model!$Y$2:$Y$300,MATCH("Yes",Scoring_Model!$U$2:$U$300,0))),"No anchor found"))</f>
        <v/>
      </c>
      <c r="J229" s="2">
        <f>Scoring_Model!W229</f>
        <v/>
      </c>
      <c r="K229">
        <f>IF(Scoring_Model!V229&lt;&gt;"Yes","",IF(F229="High Value Bundle","1 anchor + 1 slow mover",IF(F229="Medium Value Bundle","1 anchor + 2 slow movers","1 anchor + 2 slow movers (aggressive clearout)")))</f>
        <v/>
      </c>
      <c r="L229">
        <f>IF(B229="","",IF(Scoring_Model!V229&lt;&gt;"Yes","Not a slow-mover bundle candidate","Bundle to move slow stock with controlled discount"))</f>
        <v/>
      </c>
    </row>
    <row r="230">
      <c r="A230">
        <f>IF(Scoring_Model!V230&lt;&gt;"Yes","","RB-"&amp;TEXT(COUNTIF(Scoring_Model!$V$2:$V230,"Yes"),"000000"))</f>
        <v/>
      </c>
      <c r="B230">
        <f>Scoring_Model!A230</f>
        <v/>
      </c>
      <c r="C230">
        <f>Scoring_Model!B230</f>
        <v/>
      </c>
      <c r="D230">
        <f>Scoring_Model!C230</f>
        <v/>
      </c>
      <c r="E230">
        <f>Scoring_Model!S230</f>
        <v/>
      </c>
      <c r="F230">
        <f>Scoring_Model!T230</f>
        <v/>
      </c>
      <c r="G230" s="2">
        <f>Scoring_Model!R230</f>
        <v/>
      </c>
      <c r="H230">
        <f>Scoring_Model!P230</f>
        <v/>
      </c>
      <c r="I230">
        <f>IF(Scoring_Model!V230&lt;&gt;"Yes","",IFERROR(XLOOKUP(D230&amp;"|anchor",Scoring_Model!$X$2:$X$300,Scoring_Model!$Y$2:$Y$300,INDEX(Scoring_Model!$Y$2:$Y$300,MATCH("Yes",Scoring_Model!$U$2:$U$300,0))),"No anchor found"))</f>
        <v/>
      </c>
      <c r="J230" s="2">
        <f>Scoring_Model!W230</f>
        <v/>
      </c>
      <c r="K230">
        <f>IF(Scoring_Model!V230&lt;&gt;"Yes","",IF(F230="High Value Bundle","1 anchor + 1 slow mover",IF(F230="Medium Value Bundle","1 anchor + 2 slow movers","1 anchor + 2 slow movers (aggressive clearout)")))</f>
        <v/>
      </c>
      <c r="L230">
        <f>IF(B230="","",IF(Scoring_Model!V230&lt;&gt;"Yes","Not a slow-mover bundle candidate","Bundle to move slow stock with controlled discount"))</f>
        <v/>
      </c>
    </row>
    <row r="231">
      <c r="A231">
        <f>IF(Scoring_Model!V231&lt;&gt;"Yes","","RB-"&amp;TEXT(COUNTIF(Scoring_Model!$V$2:$V231,"Yes"),"000000"))</f>
        <v/>
      </c>
      <c r="B231">
        <f>Scoring_Model!A231</f>
        <v/>
      </c>
      <c r="C231">
        <f>Scoring_Model!B231</f>
        <v/>
      </c>
      <c r="D231">
        <f>Scoring_Model!C231</f>
        <v/>
      </c>
      <c r="E231">
        <f>Scoring_Model!S231</f>
        <v/>
      </c>
      <c r="F231">
        <f>Scoring_Model!T231</f>
        <v/>
      </c>
      <c r="G231" s="2">
        <f>Scoring_Model!R231</f>
        <v/>
      </c>
      <c r="H231">
        <f>Scoring_Model!P231</f>
        <v/>
      </c>
      <c r="I231">
        <f>IF(Scoring_Model!V231&lt;&gt;"Yes","",IFERROR(XLOOKUP(D231&amp;"|anchor",Scoring_Model!$X$2:$X$300,Scoring_Model!$Y$2:$Y$300,INDEX(Scoring_Model!$Y$2:$Y$300,MATCH("Yes",Scoring_Model!$U$2:$U$300,0))),"No anchor found"))</f>
        <v/>
      </c>
      <c r="J231" s="2">
        <f>Scoring_Model!W231</f>
        <v/>
      </c>
      <c r="K231">
        <f>IF(Scoring_Model!V231&lt;&gt;"Yes","",IF(F231="High Value Bundle","1 anchor + 1 slow mover",IF(F231="Medium Value Bundle","1 anchor + 2 slow movers","1 anchor + 2 slow movers (aggressive clearout)")))</f>
        <v/>
      </c>
      <c r="L231">
        <f>IF(B231="","",IF(Scoring_Model!V231&lt;&gt;"Yes","Not a slow-mover bundle candidate","Bundle to move slow stock with controlled discount"))</f>
        <v/>
      </c>
    </row>
    <row r="232">
      <c r="A232">
        <f>IF(Scoring_Model!V232&lt;&gt;"Yes","","RB-"&amp;TEXT(COUNTIF(Scoring_Model!$V$2:$V232,"Yes"),"000000"))</f>
        <v/>
      </c>
      <c r="B232">
        <f>Scoring_Model!A232</f>
        <v/>
      </c>
      <c r="C232">
        <f>Scoring_Model!B232</f>
        <v/>
      </c>
      <c r="D232">
        <f>Scoring_Model!C232</f>
        <v/>
      </c>
      <c r="E232">
        <f>Scoring_Model!S232</f>
        <v/>
      </c>
      <c r="F232">
        <f>Scoring_Model!T232</f>
        <v/>
      </c>
      <c r="G232" s="2">
        <f>Scoring_Model!R232</f>
        <v/>
      </c>
      <c r="H232">
        <f>Scoring_Model!P232</f>
        <v/>
      </c>
      <c r="I232">
        <f>IF(Scoring_Model!V232&lt;&gt;"Yes","",IFERROR(XLOOKUP(D232&amp;"|anchor",Scoring_Model!$X$2:$X$300,Scoring_Model!$Y$2:$Y$300,INDEX(Scoring_Model!$Y$2:$Y$300,MATCH("Yes",Scoring_Model!$U$2:$U$300,0))),"No anchor found"))</f>
        <v/>
      </c>
      <c r="J232" s="2">
        <f>Scoring_Model!W232</f>
        <v/>
      </c>
      <c r="K232">
        <f>IF(Scoring_Model!V232&lt;&gt;"Yes","",IF(F232="High Value Bundle","1 anchor + 1 slow mover",IF(F232="Medium Value Bundle","1 anchor + 2 slow movers","1 anchor + 2 slow movers (aggressive clearout)")))</f>
        <v/>
      </c>
      <c r="L232">
        <f>IF(B232="","",IF(Scoring_Model!V232&lt;&gt;"Yes","Not a slow-mover bundle candidate","Bundle to move slow stock with controlled discount"))</f>
        <v/>
      </c>
    </row>
    <row r="233">
      <c r="A233">
        <f>IF(Scoring_Model!V233&lt;&gt;"Yes","","RB-"&amp;TEXT(COUNTIF(Scoring_Model!$V$2:$V233,"Yes"),"000000"))</f>
        <v/>
      </c>
      <c r="B233">
        <f>Scoring_Model!A233</f>
        <v/>
      </c>
      <c r="C233">
        <f>Scoring_Model!B233</f>
        <v/>
      </c>
      <c r="D233">
        <f>Scoring_Model!C233</f>
        <v/>
      </c>
      <c r="E233">
        <f>Scoring_Model!S233</f>
        <v/>
      </c>
      <c r="F233">
        <f>Scoring_Model!T233</f>
        <v/>
      </c>
      <c r="G233" s="2">
        <f>Scoring_Model!R233</f>
        <v/>
      </c>
      <c r="H233">
        <f>Scoring_Model!P233</f>
        <v/>
      </c>
      <c r="I233">
        <f>IF(Scoring_Model!V233&lt;&gt;"Yes","",IFERROR(XLOOKUP(D233&amp;"|anchor",Scoring_Model!$X$2:$X$300,Scoring_Model!$Y$2:$Y$300,INDEX(Scoring_Model!$Y$2:$Y$300,MATCH("Yes",Scoring_Model!$U$2:$U$300,0))),"No anchor found"))</f>
        <v/>
      </c>
      <c r="J233" s="2">
        <f>Scoring_Model!W233</f>
        <v/>
      </c>
      <c r="K233">
        <f>IF(Scoring_Model!V233&lt;&gt;"Yes","",IF(F233="High Value Bundle","1 anchor + 1 slow mover",IF(F233="Medium Value Bundle","1 anchor + 2 slow movers","1 anchor + 2 slow movers (aggressive clearout)")))</f>
        <v/>
      </c>
      <c r="L233">
        <f>IF(B233="","",IF(Scoring_Model!V233&lt;&gt;"Yes","Not a slow-mover bundle candidate","Bundle to move slow stock with controlled discount"))</f>
        <v/>
      </c>
    </row>
    <row r="234">
      <c r="A234">
        <f>IF(Scoring_Model!V234&lt;&gt;"Yes","","RB-"&amp;TEXT(COUNTIF(Scoring_Model!$V$2:$V234,"Yes"),"000000"))</f>
        <v/>
      </c>
      <c r="B234">
        <f>Scoring_Model!A234</f>
        <v/>
      </c>
      <c r="C234">
        <f>Scoring_Model!B234</f>
        <v/>
      </c>
      <c r="D234">
        <f>Scoring_Model!C234</f>
        <v/>
      </c>
      <c r="E234">
        <f>Scoring_Model!S234</f>
        <v/>
      </c>
      <c r="F234">
        <f>Scoring_Model!T234</f>
        <v/>
      </c>
      <c r="G234" s="2">
        <f>Scoring_Model!R234</f>
        <v/>
      </c>
      <c r="H234">
        <f>Scoring_Model!P234</f>
        <v/>
      </c>
      <c r="I234">
        <f>IF(Scoring_Model!V234&lt;&gt;"Yes","",IFERROR(XLOOKUP(D234&amp;"|anchor",Scoring_Model!$X$2:$X$300,Scoring_Model!$Y$2:$Y$300,INDEX(Scoring_Model!$Y$2:$Y$300,MATCH("Yes",Scoring_Model!$U$2:$U$300,0))),"No anchor found"))</f>
        <v/>
      </c>
      <c r="J234" s="2">
        <f>Scoring_Model!W234</f>
        <v/>
      </c>
      <c r="K234">
        <f>IF(Scoring_Model!V234&lt;&gt;"Yes","",IF(F234="High Value Bundle","1 anchor + 1 slow mover",IF(F234="Medium Value Bundle","1 anchor + 2 slow movers","1 anchor + 2 slow movers (aggressive clearout)")))</f>
        <v/>
      </c>
      <c r="L234">
        <f>IF(B234="","",IF(Scoring_Model!V234&lt;&gt;"Yes","Not a slow-mover bundle candidate","Bundle to move slow stock with controlled discount"))</f>
        <v/>
      </c>
    </row>
    <row r="235">
      <c r="A235">
        <f>IF(Scoring_Model!V235&lt;&gt;"Yes","","RB-"&amp;TEXT(COUNTIF(Scoring_Model!$V$2:$V235,"Yes"),"000000"))</f>
        <v/>
      </c>
      <c r="B235">
        <f>Scoring_Model!A235</f>
        <v/>
      </c>
      <c r="C235">
        <f>Scoring_Model!B235</f>
        <v/>
      </c>
      <c r="D235">
        <f>Scoring_Model!C235</f>
        <v/>
      </c>
      <c r="E235">
        <f>Scoring_Model!S235</f>
        <v/>
      </c>
      <c r="F235">
        <f>Scoring_Model!T235</f>
        <v/>
      </c>
      <c r="G235" s="2">
        <f>Scoring_Model!R235</f>
        <v/>
      </c>
      <c r="H235">
        <f>Scoring_Model!P235</f>
        <v/>
      </c>
      <c r="I235">
        <f>IF(Scoring_Model!V235&lt;&gt;"Yes","",IFERROR(XLOOKUP(D235&amp;"|anchor",Scoring_Model!$X$2:$X$300,Scoring_Model!$Y$2:$Y$300,INDEX(Scoring_Model!$Y$2:$Y$300,MATCH("Yes",Scoring_Model!$U$2:$U$300,0))),"No anchor found"))</f>
        <v/>
      </c>
      <c r="J235" s="2">
        <f>Scoring_Model!W235</f>
        <v/>
      </c>
      <c r="K235">
        <f>IF(Scoring_Model!V235&lt;&gt;"Yes","",IF(F235="High Value Bundle","1 anchor + 1 slow mover",IF(F235="Medium Value Bundle","1 anchor + 2 slow movers","1 anchor + 2 slow movers (aggressive clearout)")))</f>
        <v/>
      </c>
      <c r="L235">
        <f>IF(B235="","",IF(Scoring_Model!V235&lt;&gt;"Yes","Not a slow-mover bundle candidate","Bundle to move slow stock with controlled discount"))</f>
        <v/>
      </c>
    </row>
    <row r="236">
      <c r="A236">
        <f>IF(Scoring_Model!V236&lt;&gt;"Yes","","RB-"&amp;TEXT(COUNTIF(Scoring_Model!$V$2:$V236,"Yes"),"000000"))</f>
        <v/>
      </c>
      <c r="B236">
        <f>Scoring_Model!A236</f>
        <v/>
      </c>
      <c r="C236">
        <f>Scoring_Model!B236</f>
        <v/>
      </c>
      <c r="D236">
        <f>Scoring_Model!C236</f>
        <v/>
      </c>
      <c r="E236">
        <f>Scoring_Model!S236</f>
        <v/>
      </c>
      <c r="F236">
        <f>Scoring_Model!T236</f>
        <v/>
      </c>
      <c r="G236" s="2">
        <f>Scoring_Model!R236</f>
        <v/>
      </c>
      <c r="H236">
        <f>Scoring_Model!P236</f>
        <v/>
      </c>
      <c r="I236">
        <f>IF(Scoring_Model!V236&lt;&gt;"Yes","",IFERROR(XLOOKUP(D236&amp;"|anchor",Scoring_Model!$X$2:$X$300,Scoring_Model!$Y$2:$Y$300,INDEX(Scoring_Model!$Y$2:$Y$300,MATCH("Yes",Scoring_Model!$U$2:$U$300,0))),"No anchor found"))</f>
        <v/>
      </c>
      <c r="J236" s="2">
        <f>Scoring_Model!W236</f>
        <v/>
      </c>
      <c r="K236">
        <f>IF(Scoring_Model!V236&lt;&gt;"Yes","",IF(F236="High Value Bundle","1 anchor + 1 slow mover",IF(F236="Medium Value Bundle","1 anchor + 2 slow movers","1 anchor + 2 slow movers (aggressive clearout)")))</f>
        <v/>
      </c>
      <c r="L236">
        <f>IF(B236="","",IF(Scoring_Model!V236&lt;&gt;"Yes","Not a slow-mover bundle candidate","Bundle to move slow stock with controlled discount"))</f>
        <v/>
      </c>
    </row>
    <row r="237">
      <c r="A237">
        <f>IF(Scoring_Model!V237&lt;&gt;"Yes","","RB-"&amp;TEXT(COUNTIF(Scoring_Model!$V$2:$V237,"Yes"),"000000"))</f>
        <v/>
      </c>
      <c r="B237">
        <f>Scoring_Model!A237</f>
        <v/>
      </c>
      <c r="C237">
        <f>Scoring_Model!B237</f>
        <v/>
      </c>
      <c r="D237">
        <f>Scoring_Model!C237</f>
        <v/>
      </c>
      <c r="E237">
        <f>Scoring_Model!S237</f>
        <v/>
      </c>
      <c r="F237">
        <f>Scoring_Model!T237</f>
        <v/>
      </c>
      <c r="G237" s="2">
        <f>Scoring_Model!R237</f>
        <v/>
      </c>
      <c r="H237">
        <f>Scoring_Model!P237</f>
        <v/>
      </c>
      <c r="I237">
        <f>IF(Scoring_Model!V237&lt;&gt;"Yes","",IFERROR(XLOOKUP(D237&amp;"|anchor",Scoring_Model!$X$2:$X$300,Scoring_Model!$Y$2:$Y$300,INDEX(Scoring_Model!$Y$2:$Y$300,MATCH("Yes",Scoring_Model!$U$2:$U$300,0))),"No anchor found"))</f>
        <v/>
      </c>
      <c r="J237" s="2">
        <f>Scoring_Model!W237</f>
        <v/>
      </c>
      <c r="K237">
        <f>IF(Scoring_Model!V237&lt;&gt;"Yes","",IF(F237="High Value Bundle","1 anchor + 1 slow mover",IF(F237="Medium Value Bundle","1 anchor + 2 slow movers","1 anchor + 2 slow movers (aggressive clearout)")))</f>
        <v/>
      </c>
      <c r="L237">
        <f>IF(B237="","",IF(Scoring_Model!V237&lt;&gt;"Yes","Not a slow-mover bundle candidate","Bundle to move slow stock with controlled discount"))</f>
        <v/>
      </c>
    </row>
    <row r="238">
      <c r="A238">
        <f>IF(Scoring_Model!V238&lt;&gt;"Yes","","RB-"&amp;TEXT(COUNTIF(Scoring_Model!$V$2:$V238,"Yes"),"000000"))</f>
        <v/>
      </c>
      <c r="B238">
        <f>Scoring_Model!A238</f>
        <v/>
      </c>
      <c r="C238">
        <f>Scoring_Model!B238</f>
        <v/>
      </c>
      <c r="D238">
        <f>Scoring_Model!C238</f>
        <v/>
      </c>
      <c r="E238">
        <f>Scoring_Model!S238</f>
        <v/>
      </c>
      <c r="F238">
        <f>Scoring_Model!T238</f>
        <v/>
      </c>
      <c r="G238" s="2">
        <f>Scoring_Model!R238</f>
        <v/>
      </c>
      <c r="H238">
        <f>Scoring_Model!P238</f>
        <v/>
      </c>
      <c r="I238">
        <f>IF(Scoring_Model!V238&lt;&gt;"Yes","",IFERROR(XLOOKUP(D238&amp;"|anchor",Scoring_Model!$X$2:$X$300,Scoring_Model!$Y$2:$Y$300,INDEX(Scoring_Model!$Y$2:$Y$300,MATCH("Yes",Scoring_Model!$U$2:$U$300,0))),"No anchor found"))</f>
        <v/>
      </c>
      <c r="J238" s="2">
        <f>Scoring_Model!W238</f>
        <v/>
      </c>
      <c r="K238">
        <f>IF(Scoring_Model!V238&lt;&gt;"Yes","",IF(F238="High Value Bundle","1 anchor + 1 slow mover",IF(F238="Medium Value Bundle","1 anchor + 2 slow movers","1 anchor + 2 slow movers (aggressive clearout)")))</f>
        <v/>
      </c>
      <c r="L238">
        <f>IF(B238="","",IF(Scoring_Model!V238&lt;&gt;"Yes","Not a slow-mover bundle candidate","Bundle to move slow stock with controlled discount"))</f>
        <v/>
      </c>
    </row>
    <row r="239">
      <c r="A239">
        <f>IF(Scoring_Model!V239&lt;&gt;"Yes","","RB-"&amp;TEXT(COUNTIF(Scoring_Model!$V$2:$V239,"Yes"),"000000"))</f>
        <v/>
      </c>
      <c r="B239">
        <f>Scoring_Model!A239</f>
        <v/>
      </c>
      <c r="C239">
        <f>Scoring_Model!B239</f>
        <v/>
      </c>
      <c r="D239">
        <f>Scoring_Model!C239</f>
        <v/>
      </c>
      <c r="E239">
        <f>Scoring_Model!S239</f>
        <v/>
      </c>
      <c r="F239">
        <f>Scoring_Model!T239</f>
        <v/>
      </c>
      <c r="G239" s="2">
        <f>Scoring_Model!R239</f>
        <v/>
      </c>
      <c r="H239">
        <f>Scoring_Model!P239</f>
        <v/>
      </c>
      <c r="I239">
        <f>IF(Scoring_Model!V239&lt;&gt;"Yes","",IFERROR(XLOOKUP(D239&amp;"|anchor",Scoring_Model!$X$2:$X$300,Scoring_Model!$Y$2:$Y$300,INDEX(Scoring_Model!$Y$2:$Y$300,MATCH("Yes",Scoring_Model!$U$2:$U$300,0))),"No anchor found"))</f>
        <v/>
      </c>
      <c r="J239" s="2">
        <f>Scoring_Model!W239</f>
        <v/>
      </c>
      <c r="K239">
        <f>IF(Scoring_Model!V239&lt;&gt;"Yes","",IF(F239="High Value Bundle","1 anchor + 1 slow mover",IF(F239="Medium Value Bundle","1 anchor + 2 slow movers","1 anchor + 2 slow movers (aggressive clearout)")))</f>
        <v/>
      </c>
      <c r="L239">
        <f>IF(B239="","",IF(Scoring_Model!V239&lt;&gt;"Yes","Not a slow-mover bundle candidate","Bundle to move slow stock with controlled discount"))</f>
        <v/>
      </c>
    </row>
    <row r="240">
      <c r="A240">
        <f>IF(Scoring_Model!V240&lt;&gt;"Yes","","RB-"&amp;TEXT(COUNTIF(Scoring_Model!$V$2:$V240,"Yes"),"000000"))</f>
        <v/>
      </c>
      <c r="B240">
        <f>Scoring_Model!A240</f>
        <v/>
      </c>
      <c r="C240">
        <f>Scoring_Model!B240</f>
        <v/>
      </c>
      <c r="D240">
        <f>Scoring_Model!C240</f>
        <v/>
      </c>
      <c r="E240">
        <f>Scoring_Model!S240</f>
        <v/>
      </c>
      <c r="F240">
        <f>Scoring_Model!T240</f>
        <v/>
      </c>
      <c r="G240" s="2">
        <f>Scoring_Model!R240</f>
        <v/>
      </c>
      <c r="H240">
        <f>Scoring_Model!P240</f>
        <v/>
      </c>
      <c r="I240">
        <f>IF(Scoring_Model!V240&lt;&gt;"Yes","",IFERROR(XLOOKUP(D240&amp;"|anchor",Scoring_Model!$X$2:$X$300,Scoring_Model!$Y$2:$Y$300,INDEX(Scoring_Model!$Y$2:$Y$300,MATCH("Yes",Scoring_Model!$U$2:$U$300,0))),"No anchor found"))</f>
        <v/>
      </c>
      <c r="J240" s="2">
        <f>Scoring_Model!W240</f>
        <v/>
      </c>
      <c r="K240">
        <f>IF(Scoring_Model!V240&lt;&gt;"Yes","",IF(F240="High Value Bundle","1 anchor + 1 slow mover",IF(F240="Medium Value Bundle","1 anchor + 2 slow movers","1 anchor + 2 slow movers (aggressive clearout)")))</f>
        <v/>
      </c>
      <c r="L240">
        <f>IF(B240="","",IF(Scoring_Model!V240&lt;&gt;"Yes","Not a slow-mover bundle candidate","Bundle to move slow stock with controlled discount"))</f>
        <v/>
      </c>
    </row>
    <row r="241">
      <c r="A241">
        <f>IF(Scoring_Model!V241&lt;&gt;"Yes","","RB-"&amp;TEXT(COUNTIF(Scoring_Model!$V$2:$V241,"Yes"),"000000"))</f>
        <v/>
      </c>
      <c r="B241">
        <f>Scoring_Model!A241</f>
        <v/>
      </c>
      <c r="C241">
        <f>Scoring_Model!B241</f>
        <v/>
      </c>
      <c r="D241">
        <f>Scoring_Model!C241</f>
        <v/>
      </c>
      <c r="E241">
        <f>Scoring_Model!S241</f>
        <v/>
      </c>
      <c r="F241">
        <f>Scoring_Model!T241</f>
        <v/>
      </c>
      <c r="G241" s="2">
        <f>Scoring_Model!R241</f>
        <v/>
      </c>
      <c r="H241">
        <f>Scoring_Model!P241</f>
        <v/>
      </c>
      <c r="I241">
        <f>IF(Scoring_Model!V241&lt;&gt;"Yes","",IFERROR(XLOOKUP(D241&amp;"|anchor",Scoring_Model!$X$2:$X$300,Scoring_Model!$Y$2:$Y$300,INDEX(Scoring_Model!$Y$2:$Y$300,MATCH("Yes",Scoring_Model!$U$2:$U$300,0))),"No anchor found"))</f>
        <v/>
      </c>
      <c r="J241" s="2">
        <f>Scoring_Model!W241</f>
        <v/>
      </c>
      <c r="K241">
        <f>IF(Scoring_Model!V241&lt;&gt;"Yes","",IF(F241="High Value Bundle","1 anchor + 1 slow mover",IF(F241="Medium Value Bundle","1 anchor + 2 slow movers","1 anchor + 2 slow movers (aggressive clearout)")))</f>
        <v/>
      </c>
      <c r="L241">
        <f>IF(B241="","",IF(Scoring_Model!V241&lt;&gt;"Yes","Not a slow-mover bundle candidate","Bundle to move slow stock with controlled discount"))</f>
        <v/>
      </c>
    </row>
    <row r="242">
      <c r="A242">
        <f>IF(Scoring_Model!V242&lt;&gt;"Yes","","RB-"&amp;TEXT(COUNTIF(Scoring_Model!$V$2:$V242,"Yes"),"000000"))</f>
        <v/>
      </c>
      <c r="B242">
        <f>Scoring_Model!A242</f>
        <v/>
      </c>
      <c r="C242">
        <f>Scoring_Model!B242</f>
        <v/>
      </c>
      <c r="D242">
        <f>Scoring_Model!C242</f>
        <v/>
      </c>
      <c r="E242">
        <f>Scoring_Model!S242</f>
        <v/>
      </c>
      <c r="F242">
        <f>Scoring_Model!T242</f>
        <v/>
      </c>
      <c r="G242" s="2">
        <f>Scoring_Model!R242</f>
        <v/>
      </c>
      <c r="H242">
        <f>Scoring_Model!P242</f>
        <v/>
      </c>
      <c r="I242">
        <f>IF(Scoring_Model!V242&lt;&gt;"Yes","",IFERROR(XLOOKUP(D242&amp;"|anchor",Scoring_Model!$X$2:$X$300,Scoring_Model!$Y$2:$Y$300,INDEX(Scoring_Model!$Y$2:$Y$300,MATCH("Yes",Scoring_Model!$U$2:$U$300,0))),"No anchor found"))</f>
        <v/>
      </c>
      <c r="J242" s="2">
        <f>Scoring_Model!W242</f>
        <v/>
      </c>
      <c r="K242">
        <f>IF(Scoring_Model!V242&lt;&gt;"Yes","",IF(F242="High Value Bundle","1 anchor + 1 slow mover",IF(F242="Medium Value Bundle","1 anchor + 2 slow movers","1 anchor + 2 slow movers (aggressive clearout)")))</f>
        <v/>
      </c>
      <c r="L242">
        <f>IF(B242="","",IF(Scoring_Model!V242&lt;&gt;"Yes","Not a slow-mover bundle candidate","Bundle to move slow stock with controlled discount"))</f>
        <v/>
      </c>
    </row>
    <row r="243">
      <c r="A243">
        <f>IF(Scoring_Model!V243&lt;&gt;"Yes","","RB-"&amp;TEXT(COUNTIF(Scoring_Model!$V$2:$V243,"Yes"),"000000"))</f>
        <v/>
      </c>
      <c r="B243">
        <f>Scoring_Model!A243</f>
        <v/>
      </c>
      <c r="C243">
        <f>Scoring_Model!B243</f>
        <v/>
      </c>
      <c r="D243">
        <f>Scoring_Model!C243</f>
        <v/>
      </c>
      <c r="E243">
        <f>Scoring_Model!S243</f>
        <v/>
      </c>
      <c r="F243">
        <f>Scoring_Model!T243</f>
        <v/>
      </c>
      <c r="G243" s="2">
        <f>Scoring_Model!R243</f>
        <v/>
      </c>
      <c r="H243">
        <f>Scoring_Model!P243</f>
        <v/>
      </c>
      <c r="I243">
        <f>IF(Scoring_Model!V243&lt;&gt;"Yes","",IFERROR(XLOOKUP(D243&amp;"|anchor",Scoring_Model!$X$2:$X$300,Scoring_Model!$Y$2:$Y$300,INDEX(Scoring_Model!$Y$2:$Y$300,MATCH("Yes",Scoring_Model!$U$2:$U$300,0))),"No anchor found"))</f>
        <v/>
      </c>
      <c r="J243" s="2">
        <f>Scoring_Model!W243</f>
        <v/>
      </c>
      <c r="K243">
        <f>IF(Scoring_Model!V243&lt;&gt;"Yes","",IF(F243="High Value Bundle","1 anchor + 1 slow mover",IF(F243="Medium Value Bundle","1 anchor + 2 slow movers","1 anchor + 2 slow movers (aggressive clearout)")))</f>
        <v/>
      </c>
      <c r="L243">
        <f>IF(B243="","",IF(Scoring_Model!V243&lt;&gt;"Yes","Not a slow-mover bundle candidate","Bundle to move slow stock with controlled discount"))</f>
        <v/>
      </c>
    </row>
    <row r="244">
      <c r="A244">
        <f>IF(Scoring_Model!V244&lt;&gt;"Yes","","RB-"&amp;TEXT(COUNTIF(Scoring_Model!$V$2:$V244,"Yes"),"000000"))</f>
        <v/>
      </c>
      <c r="B244">
        <f>Scoring_Model!A244</f>
        <v/>
      </c>
      <c r="C244">
        <f>Scoring_Model!B244</f>
        <v/>
      </c>
      <c r="D244">
        <f>Scoring_Model!C244</f>
        <v/>
      </c>
      <c r="E244">
        <f>Scoring_Model!S244</f>
        <v/>
      </c>
      <c r="F244">
        <f>Scoring_Model!T244</f>
        <v/>
      </c>
      <c r="G244" s="2">
        <f>Scoring_Model!R244</f>
        <v/>
      </c>
      <c r="H244">
        <f>Scoring_Model!P244</f>
        <v/>
      </c>
      <c r="I244">
        <f>IF(Scoring_Model!V244&lt;&gt;"Yes","",IFERROR(XLOOKUP(D244&amp;"|anchor",Scoring_Model!$X$2:$X$300,Scoring_Model!$Y$2:$Y$300,INDEX(Scoring_Model!$Y$2:$Y$300,MATCH("Yes",Scoring_Model!$U$2:$U$300,0))),"No anchor found"))</f>
        <v/>
      </c>
      <c r="J244" s="2">
        <f>Scoring_Model!W244</f>
        <v/>
      </c>
      <c r="K244">
        <f>IF(Scoring_Model!V244&lt;&gt;"Yes","",IF(F244="High Value Bundle","1 anchor + 1 slow mover",IF(F244="Medium Value Bundle","1 anchor + 2 slow movers","1 anchor + 2 slow movers (aggressive clearout)")))</f>
        <v/>
      </c>
      <c r="L244">
        <f>IF(B244="","",IF(Scoring_Model!V244&lt;&gt;"Yes","Not a slow-mover bundle candidate","Bundle to move slow stock with controlled discount"))</f>
        <v/>
      </c>
    </row>
    <row r="245">
      <c r="A245">
        <f>IF(Scoring_Model!V245&lt;&gt;"Yes","","RB-"&amp;TEXT(COUNTIF(Scoring_Model!$V$2:$V245,"Yes"),"000000"))</f>
        <v/>
      </c>
      <c r="B245">
        <f>Scoring_Model!A245</f>
        <v/>
      </c>
      <c r="C245">
        <f>Scoring_Model!B245</f>
        <v/>
      </c>
      <c r="D245">
        <f>Scoring_Model!C245</f>
        <v/>
      </c>
      <c r="E245">
        <f>Scoring_Model!S245</f>
        <v/>
      </c>
      <c r="F245">
        <f>Scoring_Model!T245</f>
        <v/>
      </c>
      <c r="G245" s="2">
        <f>Scoring_Model!R245</f>
        <v/>
      </c>
      <c r="H245">
        <f>Scoring_Model!P245</f>
        <v/>
      </c>
      <c r="I245">
        <f>IF(Scoring_Model!V245&lt;&gt;"Yes","",IFERROR(XLOOKUP(D245&amp;"|anchor",Scoring_Model!$X$2:$X$300,Scoring_Model!$Y$2:$Y$300,INDEX(Scoring_Model!$Y$2:$Y$300,MATCH("Yes",Scoring_Model!$U$2:$U$300,0))),"No anchor found"))</f>
        <v/>
      </c>
      <c r="J245" s="2">
        <f>Scoring_Model!W245</f>
        <v/>
      </c>
      <c r="K245">
        <f>IF(Scoring_Model!V245&lt;&gt;"Yes","",IF(F245="High Value Bundle","1 anchor + 1 slow mover",IF(F245="Medium Value Bundle","1 anchor + 2 slow movers","1 anchor + 2 slow movers (aggressive clearout)")))</f>
        <v/>
      </c>
      <c r="L245">
        <f>IF(B245="","",IF(Scoring_Model!V245&lt;&gt;"Yes","Not a slow-mover bundle candidate","Bundle to move slow stock with controlled discount"))</f>
        <v/>
      </c>
    </row>
    <row r="246">
      <c r="A246">
        <f>IF(Scoring_Model!V246&lt;&gt;"Yes","","RB-"&amp;TEXT(COUNTIF(Scoring_Model!$V$2:$V246,"Yes"),"000000"))</f>
        <v/>
      </c>
      <c r="B246">
        <f>Scoring_Model!A246</f>
        <v/>
      </c>
      <c r="C246">
        <f>Scoring_Model!B246</f>
        <v/>
      </c>
      <c r="D246">
        <f>Scoring_Model!C246</f>
        <v/>
      </c>
      <c r="E246">
        <f>Scoring_Model!S246</f>
        <v/>
      </c>
      <c r="F246">
        <f>Scoring_Model!T246</f>
        <v/>
      </c>
      <c r="G246" s="2">
        <f>Scoring_Model!R246</f>
        <v/>
      </c>
      <c r="H246">
        <f>Scoring_Model!P246</f>
        <v/>
      </c>
      <c r="I246">
        <f>IF(Scoring_Model!V246&lt;&gt;"Yes","",IFERROR(XLOOKUP(D246&amp;"|anchor",Scoring_Model!$X$2:$X$300,Scoring_Model!$Y$2:$Y$300,INDEX(Scoring_Model!$Y$2:$Y$300,MATCH("Yes",Scoring_Model!$U$2:$U$300,0))),"No anchor found"))</f>
        <v/>
      </c>
      <c r="J246" s="2">
        <f>Scoring_Model!W246</f>
        <v/>
      </c>
      <c r="K246">
        <f>IF(Scoring_Model!V246&lt;&gt;"Yes","",IF(F246="High Value Bundle","1 anchor + 1 slow mover",IF(F246="Medium Value Bundle","1 anchor + 2 slow movers","1 anchor + 2 slow movers (aggressive clearout)")))</f>
        <v/>
      </c>
      <c r="L246">
        <f>IF(B246="","",IF(Scoring_Model!V246&lt;&gt;"Yes","Not a slow-mover bundle candidate","Bundle to move slow stock with controlled discount"))</f>
        <v/>
      </c>
    </row>
    <row r="247">
      <c r="A247">
        <f>IF(Scoring_Model!V247&lt;&gt;"Yes","","RB-"&amp;TEXT(COUNTIF(Scoring_Model!$V$2:$V247,"Yes"),"000000"))</f>
        <v/>
      </c>
      <c r="B247">
        <f>Scoring_Model!A247</f>
        <v/>
      </c>
      <c r="C247">
        <f>Scoring_Model!B247</f>
        <v/>
      </c>
      <c r="D247">
        <f>Scoring_Model!C247</f>
        <v/>
      </c>
      <c r="E247">
        <f>Scoring_Model!S247</f>
        <v/>
      </c>
      <c r="F247">
        <f>Scoring_Model!T247</f>
        <v/>
      </c>
      <c r="G247" s="2">
        <f>Scoring_Model!R247</f>
        <v/>
      </c>
      <c r="H247">
        <f>Scoring_Model!P247</f>
        <v/>
      </c>
      <c r="I247">
        <f>IF(Scoring_Model!V247&lt;&gt;"Yes","",IFERROR(XLOOKUP(D247&amp;"|anchor",Scoring_Model!$X$2:$X$300,Scoring_Model!$Y$2:$Y$300,INDEX(Scoring_Model!$Y$2:$Y$300,MATCH("Yes",Scoring_Model!$U$2:$U$300,0))),"No anchor found"))</f>
        <v/>
      </c>
      <c r="J247" s="2">
        <f>Scoring_Model!W247</f>
        <v/>
      </c>
      <c r="K247">
        <f>IF(Scoring_Model!V247&lt;&gt;"Yes","",IF(F247="High Value Bundle","1 anchor + 1 slow mover",IF(F247="Medium Value Bundle","1 anchor + 2 slow movers","1 anchor + 2 slow movers (aggressive clearout)")))</f>
        <v/>
      </c>
      <c r="L247">
        <f>IF(B247="","",IF(Scoring_Model!V247&lt;&gt;"Yes","Not a slow-mover bundle candidate","Bundle to move slow stock with controlled discount"))</f>
        <v/>
      </c>
    </row>
    <row r="248">
      <c r="A248">
        <f>IF(Scoring_Model!V248&lt;&gt;"Yes","","RB-"&amp;TEXT(COUNTIF(Scoring_Model!$V$2:$V248,"Yes"),"000000"))</f>
        <v/>
      </c>
      <c r="B248">
        <f>Scoring_Model!A248</f>
        <v/>
      </c>
      <c r="C248">
        <f>Scoring_Model!B248</f>
        <v/>
      </c>
      <c r="D248">
        <f>Scoring_Model!C248</f>
        <v/>
      </c>
      <c r="E248">
        <f>Scoring_Model!S248</f>
        <v/>
      </c>
      <c r="F248">
        <f>Scoring_Model!T248</f>
        <v/>
      </c>
      <c r="G248" s="2">
        <f>Scoring_Model!R248</f>
        <v/>
      </c>
      <c r="H248">
        <f>Scoring_Model!P248</f>
        <v/>
      </c>
      <c r="I248">
        <f>IF(Scoring_Model!V248&lt;&gt;"Yes","",IFERROR(XLOOKUP(D248&amp;"|anchor",Scoring_Model!$X$2:$X$300,Scoring_Model!$Y$2:$Y$300,INDEX(Scoring_Model!$Y$2:$Y$300,MATCH("Yes",Scoring_Model!$U$2:$U$300,0))),"No anchor found"))</f>
        <v/>
      </c>
      <c r="J248" s="2">
        <f>Scoring_Model!W248</f>
        <v/>
      </c>
      <c r="K248">
        <f>IF(Scoring_Model!V248&lt;&gt;"Yes","",IF(F248="High Value Bundle","1 anchor + 1 slow mover",IF(F248="Medium Value Bundle","1 anchor + 2 slow movers","1 anchor + 2 slow movers (aggressive clearout)")))</f>
        <v/>
      </c>
      <c r="L248">
        <f>IF(B248="","",IF(Scoring_Model!V248&lt;&gt;"Yes","Not a slow-mover bundle candidate","Bundle to move slow stock with controlled discount"))</f>
        <v/>
      </c>
    </row>
    <row r="249">
      <c r="A249">
        <f>IF(Scoring_Model!V249&lt;&gt;"Yes","","RB-"&amp;TEXT(COUNTIF(Scoring_Model!$V$2:$V249,"Yes"),"000000"))</f>
        <v/>
      </c>
      <c r="B249">
        <f>Scoring_Model!A249</f>
        <v/>
      </c>
      <c r="C249">
        <f>Scoring_Model!B249</f>
        <v/>
      </c>
      <c r="D249">
        <f>Scoring_Model!C249</f>
        <v/>
      </c>
      <c r="E249">
        <f>Scoring_Model!S249</f>
        <v/>
      </c>
      <c r="F249">
        <f>Scoring_Model!T249</f>
        <v/>
      </c>
      <c r="G249" s="2">
        <f>Scoring_Model!R249</f>
        <v/>
      </c>
      <c r="H249">
        <f>Scoring_Model!P249</f>
        <v/>
      </c>
      <c r="I249">
        <f>IF(Scoring_Model!V249&lt;&gt;"Yes","",IFERROR(XLOOKUP(D249&amp;"|anchor",Scoring_Model!$X$2:$X$300,Scoring_Model!$Y$2:$Y$300,INDEX(Scoring_Model!$Y$2:$Y$300,MATCH("Yes",Scoring_Model!$U$2:$U$300,0))),"No anchor found"))</f>
        <v/>
      </c>
      <c r="J249" s="2">
        <f>Scoring_Model!W249</f>
        <v/>
      </c>
      <c r="K249">
        <f>IF(Scoring_Model!V249&lt;&gt;"Yes","",IF(F249="High Value Bundle","1 anchor + 1 slow mover",IF(F249="Medium Value Bundle","1 anchor + 2 slow movers","1 anchor + 2 slow movers (aggressive clearout)")))</f>
        <v/>
      </c>
      <c r="L249">
        <f>IF(B249="","",IF(Scoring_Model!V249&lt;&gt;"Yes","Not a slow-mover bundle candidate","Bundle to move slow stock with controlled discount"))</f>
        <v/>
      </c>
    </row>
    <row r="250">
      <c r="A250">
        <f>IF(Scoring_Model!V250&lt;&gt;"Yes","","RB-"&amp;TEXT(COUNTIF(Scoring_Model!$V$2:$V250,"Yes"),"000000"))</f>
        <v/>
      </c>
      <c r="B250">
        <f>Scoring_Model!A250</f>
        <v/>
      </c>
      <c r="C250">
        <f>Scoring_Model!B250</f>
        <v/>
      </c>
      <c r="D250">
        <f>Scoring_Model!C250</f>
        <v/>
      </c>
      <c r="E250">
        <f>Scoring_Model!S250</f>
        <v/>
      </c>
      <c r="F250">
        <f>Scoring_Model!T250</f>
        <v/>
      </c>
      <c r="G250" s="2">
        <f>Scoring_Model!R250</f>
        <v/>
      </c>
      <c r="H250">
        <f>Scoring_Model!P250</f>
        <v/>
      </c>
      <c r="I250">
        <f>IF(Scoring_Model!V250&lt;&gt;"Yes","",IFERROR(XLOOKUP(D250&amp;"|anchor",Scoring_Model!$X$2:$X$300,Scoring_Model!$Y$2:$Y$300,INDEX(Scoring_Model!$Y$2:$Y$300,MATCH("Yes",Scoring_Model!$U$2:$U$300,0))),"No anchor found"))</f>
        <v/>
      </c>
      <c r="J250" s="2">
        <f>Scoring_Model!W250</f>
        <v/>
      </c>
      <c r="K250">
        <f>IF(Scoring_Model!V250&lt;&gt;"Yes","",IF(F250="High Value Bundle","1 anchor + 1 slow mover",IF(F250="Medium Value Bundle","1 anchor + 2 slow movers","1 anchor + 2 slow movers (aggressive clearout)")))</f>
        <v/>
      </c>
      <c r="L250">
        <f>IF(B250="","",IF(Scoring_Model!V250&lt;&gt;"Yes","Not a slow-mover bundle candidate","Bundle to move slow stock with controlled discount"))</f>
        <v/>
      </c>
    </row>
    <row r="251">
      <c r="A251">
        <f>IF(Scoring_Model!V251&lt;&gt;"Yes","","RB-"&amp;TEXT(COUNTIF(Scoring_Model!$V$2:$V251,"Yes"),"000000"))</f>
        <v/>
      </c>
      <c r="B251">
        <f>Scoring_Model!A251</f>
        <v/>
      </c>
      <c r="C251">
        <f>Scoring_Model!B251</f>
        <v/>
      </c>
      <c r="D251">
        <f>Scoring_Model!C251</f>
        <v/>
      </c>
      <c r="E251">
        <f>Scoring_Model!S251</f>
        <v/>
      </c>
      <c r="F251">
        <f>Scoring_Model!T251</f>
        <v/>
      </c>
      <c r="G251" s="2">
        <f>Scoring_Model!R251</f>
        <v/>
      </c>
      <c r="H251">
        <f>Scoring_Model!P251</f>
        <v/>
      </c>
      <c r="I251">
        <f>IF(Scoring_Model!V251&lt;&gt;"Yes","",IFERROR(XLOOKUP(D251&amp;"|anchor",Scoring_Model!$X$2:$X$300,Scoring_Model!$Y$2:$Y$300,INDEX(Scoring_Model!$Y$2:$Y$300,MATCH("Yes",Scoring_Model!$U$2:$U$300,0))),"No anchor found"))</f>
        <v/>
      </c>
      <c r="J251" s="2">
        <f>Scoring_Model!W251</f>
        <v/>
      </c>
      <c r="K251">
        <f>IF(Scoring_Model!V251&lt;&gt;"Yes","",IF(F251="High Value Bundle","1 anchor + 1 slow mover",IF(F251="Medium Value Bundle","1 anchor + 2 slow movers","1 anchor + 2 slow movers (aggressive clearout)")))</f>
        <v/>
      </c>
      <c r="L251">
        <f>IF(B251="","",IF(Scoring_Model!V251&lt;&gt;"Yes","Not a slow-mover bundle candidate","Bundle to move slow stock with controlled discount"))</f>
        <v/>
      </c>
    </row>
    <row r="252">
      <c r="A252">
        <f>IF(Scoring_Model!V252&lt;&gt;"Yes","","RB-"&amp;TEXT(COUNTIF(Scoring_Model!$V$2:$V252,"Yes"),"000000"))</f>
        <v/>
      </c>
      <c r="B252">
        <f>Scoring_Model!A252</f>
        <v/>
      </c>
      <c r="C252">
        <f>Scoring_Model!B252</f>
        <v/>
      </c>
      <c r="D252">
        <f>Scoring_Model!C252</f>
        <v/>
      </c>
      <c r="E252">
        <f>Scoring_Model!S252</f>
        <v/>
      </c>
      <c r="F252">
        <f>Scoring_Model!T252</f>
        <v/>
      </c>
      <c r="G252" s="2">
        <f>Scoring_Model!R252</f>
        <v/>
      </c>
      <c r="H252">
        <f>Scoring_Model!P252</f>
        <v/>
      </c>
      <c r="I252">
        <f>IF(Scoring_Model!V252&lt;&gt;"Yes","",IFERROR(XLOOKUP(D252&amp;"|anchor",Scoring_Model!$X$2:$X$300,Scoring_Model!$Y$2:$Y$300,INDEX(Scoring_Model!$Y$2:$Y$300,MATCH("Yes",Scoring_Model!$U$2:$U$300,0))),"No anchor found"))</f>
        <v/>
      </c>
      <c r="J252" s="2">
        <f>Scoring_Model!W252</f>
        <v/>
      </c>
      <c r="K252">
        <f>IF(Scoring_Model!V252&lt;&gt;"Yes","",IF(F252="High Value Bundle","1 anchor + 1 slow mover",IF(F252="Medium Value Bundle","1 anchor + 2 slow movers","1 anchor + 2 slow movers (aggressive clearout)")))</f>
        <v/>
      </c>
      <c r="L252">
        <f>IF(B252="","",IF(Scoring_Model!V252&lt;&gt;"Yes","Not a slow-mover bundle candidate","Bundle to move slow stock with controlled discount"))</f>
        <v/>
      </c>
    </row>
    <row r="253">
      <c r="A253">
        <f>IF(Scoring_Model!V253&lt;&gt;"Yes","","RB-"&amp;TEXT(COUNTIF(Scoring_Model!$V$2:$V253,"Yes"),"000000"))</f>
        <v/>
      </c>
      <c r="B253">
        <f>Scoring_Model!A253</f>
        <v/>
      </c>
      <c r="C253">
        <f>Scoring_Model!B253</f>
        <v/>
      </c>
      <c r="D253">
        <f>Scoring_Model!C253</f>
        <v/>
      </c>
      <c r="E253">
        <f>Scoring_Model!S253</f>
        <v/>
      </c>
      <c r="F253">
        <f>Scoring_Model!T253</f>
        <v/>
      </c>
      <c r="G253" s="2">
        <f>Scoring_Model!R253</f>
        <v/>
      </c>
      <c r="H253">
        <f>Scoring_Model!P253</f>
        <v/>
      </c>
      <c r="I253">
        <f>IF(Scoring_Model!V253&lt;&gt;"Yes","",IFERROR(XLOOKUP(D253&amp;"|anchor",Scoring_Model!$X$2:$X$300,Scoring_Model!$Y$2:$Y$300,INDEX(Scoring_Model!$Y$2:$Y$300,MATCH("Yes",Scoring_Model!$U$2:$U$300,0))),"No anchor found"))</f>
        <v/>
      </c>
      <c r="J253" s="2">
        <f>Scoring_Model!W253</f>
        <v/>
      </c>
      <c r="K253">
        <f>IF(Scoring_Model!V253&lt;&gt;"Yes","",IF(F253="High Value Bundle","1 anchor + 1 slow mover",IF(F253="Medium Value Bundle","1 anchor + 2 slow movers","1 anchor + 2 slow movers (aggressive clearout)")))</f>
        <v/>
      </c>
      <c r="L253">
        <f>IF(B253="","",IF(Scoring_Model!V253&lt;&gt;"Yes","Not a slow-mover bundle candidate","Bundle to move slow stock with controlled discount"))</f>
        <v/>
      </c>
    </row>
    <row r="254">
      <c r="A254">
        <f>IF(Scoring_Model!V254&lt;&gt;"Yes","","RB-"&amp;TEXT(COUNTIF(Scoring_Model!$V$2:$V254,"Yes"),"000000"))</f>
        <v/>
      </c>
      <c r="B254">
        <f>Scoring_Model!A254</f>
        <v/>
      </c>
      <c r="C254">
        <f>Scoring_Model!B254</f>
        <v/>
      </c>
      <c r="D254">
        <f>Scoring_Model!C254</f>
        <v/>
      </c>
      <c r="E254">
        <f>Scoring_Model!S254</f>
        <v/>
      </c>
      <c r="F254">
        <f>Scoring_Model!T254</f>
        <v/>
      </c>
      <c r="G254" s="2">
        <f>Scoring_Model!R254</f>
        <v/>
      </c>
      <c r="H254">
        <f>Scoring_Model!P254</f>
        <v/>
      </c>
      <c r="I254">
        <f>IF(Scoring_Model!V254&lt;&gt;"Yes","",IFERROR(XLOOKUP(D254&amp;"|anchor",Scoring_Model!$X$2:$X$300,Scoring_Model!$Y$2:$Y$300,INDEX(Scoring_Model!$Y$2:$Y$300,MATCH("Yes",Scoring_Model!$U$2:$U$300,0))),"No anchor found"))</f>
        <v/>
      </c>
      <c r="J254" s="2">
        <f>Scoring_Model!W254</f>
        <v/>
      </c>
      <c r="K254">
        <f>IF(Scoring_Model!V254&lt;&gt;"Yes","",IF(F254="High Value Bundle","1 anchor + 1 slow mover",IF(F254="Medium Value Bundle","1 anchor + 2 slow movers","1 anchor + 2 slow movers (aggressive clearout)")))</f>
        <v/>
      </c>
      <c r="L254">
        <f>IF(B254="","",IF(Scoring_Model!V254&lt;&gt;"Yes","Not a slow-mover bundle candidate","Bundle to move slow stock with controlled discount"))</f>
        <v/>
      </c>
    </row>
    <row r="255">
      <c r="A255">
        <f>IF(Scoring_Model!V255&lt;&gt;"Yes","","RB-"&amp;TEXT(COUNTIF(Scoring_Model!$V$2:$V255,"Yes"),"000000"))</f>
        <v/>
      </c>
      <c r="B255">
        <f>Scoring_Model!A255</f>
        <v/>
      </c>
      <c r="C255">
        <f>Scoring_Model!B255</f>
        <v/>
      </c>
      <c r="D255">
        <f>Scoring_Model!C255</f>
        <v/>
      </c>
      <c r="E255">
        <f>Scoring_Model!S255</f>
        <v/>
      </c>
      <c r="F255">
        <f>Scoring_Model!T255</f>
        <v/>
      </c>
      <c r="G255" s="2">
        <f>Scoring_Model!R255</f>
        <v/>
      </c>
      <c r="H255">
        <f>Scoring_Model!P255</f>
        <v/>
      </c>
      <c r="I255">
        <f>IF(Scoring_Model!V255&lt;&gt;"Yes","",IFERROR(XLOOKUP(D255&amp;"|anchor",Scoring_Model!$X$2:$X$300,Scoring_Model!$Y$2:$Y$300,INDEX(Scoring_Model!$Y$2:$Y$300,MATCH("Yes",Scoring_Model!$U$2:$U$300,0))),"No anchor found"))</f>
        <v/>
      </c>
      <c r="J255" s="2">
        <f>Scoring_Model!W255</f>
        <v/>
      </c>
      <c r="K255">
        <f>IF(Scoring_Model!V255&lt;&gt;"Yes","",IF(F255="High Value Bundle","1 anchor + 1 slow mover",IF(F255="Medium Value Bundle","1 anchor + 2 slow movers","1 anchor + 2 slow movers (aggressive clearout)")))</f>
        <v/>
      </c>
      <c r="L255">
        <f>IF(B255="","",IF(Scoring_Model!V255&lt;&gt;"Yes","Not a slow-mover bundle candidate","Bundle to move slow stock with controlled discount"))</f>
        <v/>
      </c>
    </row>
    <row r="256">
      <c r="A256">
        <f>IF(Scoring_Model!V256&lt;&gt;"Yes","","RB-"&amp;TEXT(COUNTIF(Scoring_Model!$V$2:$V256,"Yes"),"000000"))</f>
        <v/>
      </c>
      <c r="B256">
        <f>Scoring_Model!A256</f>
        <v/>
      </c>
      <c r="C256">
        <f>Scoring_Model!B256</f>
        <v/>
      </c>
      <c r="D256">
        <f>Scoring_Model!C256</f>
        <v/>
      </c>
      <c r="E256">
        <f>Scoring_Model!S256</f>
        <v/>
      </c>
      <c r="F256">
        <f>Scoring_Model!T256</f>
        <v/>
      </c>
      <c r="G256" s="2">
        <f>Scoring_Model!R256</f>
        <v/>
      </c>
      <c r="H256">
        <f>Scoring_Model!P256</f>
        <v/>
      </c>
      <c r="I256">
        <f>IF(Scoring_Model!V256&lt;&gt;"Yes","",IFERROR(XLOOKUP(D256&amp;"|anchor",Scoring_Model!$X$2:$X$300,Scoring_Model!$Y$2:$Y$300,INDEX(Scoring_Model!$Y$2:$Y$300,MATCH("Yes",Scoring_Model!$U$2:$U$300,0))),"No anchor found"))</f>
        <v/>
      </c>
      <c r="J256" s="2">
        <f>Scoring_Model!W256</f>
        <v/>
      </c>
      <c r="K256">
        <f>IF(Scoring_Model!V256&lt;&gt;"Yes","",IF(F256="High Value Bundle","1 anchor + 1 slow mover",IF(F256="Medium Value Bundle","1 anchor + 2 slow movers","1 anchor + 2 slow movers (aggressive clearout)")))</f>
        <v/>
      </c>
      <c r="L256">
        <f>IF(B256="","",IF(Scoring_Model!V256&lt;&gt;"Yes","Not a slow-mover bundle candidate","Bundle to move slow stock with controlled discount"))</f>
        <v/>
      </c>
    </row>
    <row r="257">
      <c r="A257">
        <f>IF(Scoring_Model!V257&lt;&gt;"Yes","","RB-"&amp;TEXT(COUNTIF(Scoring_Model!$V$2:$V257,"Yes"),"000000"))</f>
        <v/>
      </c>
      <c r="B257">
        <f>Scoring_Model!A257</f>
        <v/>
      </c>
      <c r="C257">
        <f>Scoring_Model!B257</f>
        <v/>
      </c>
      <c r="D257">
        <f>Scoring_Model!C257</f>
        <v/>
      </c>
      <c r="E257">
        <f>Scoring_Model!S257</f>
        <v/>
      </c>
      <c r="F257">
        <f>Scoring_Model!T257</f>
        <v/>
      </c>
      <c r="G257" s="2">
        <f>Scoring_Model!R257</f>
        <v/>
      </c>
      <c r="H257">
        <f>Scoring_Model!P257</f>
        <v/>
      </c>
      <c r="I257">
        <f>IF(Scoring_Model!V257&lt;&gt;"Yes","",IFERROR(XLOOKUP(D257&amp;"|anchor",Scoring_Model!$X$2:$X$300,Scoring_Model!$Y$2:$Y$300,INDEX(Scoring_Model!$Y$2:$Y$300,MATCH("Yes",Scoring_Model!$U$2:$U$300,0))),"No anchor found"))</f>
        <v/>
      </c>
      <c r="J257" s="2">
        <f>Scoring_Model!W257</f>
        <v/>
      </c>
      <c r="K257">
        <f>IF(Scoring_Model!V257&lt;&gt;"Yes","",IF(F257="High Value Bundle","1 anchor + 1 slow mover",IF(F257="Medium Value Bundle","1 anchor + 2 slow movers","1 anchor + 2 slow movers (aggressive clearout)")))</f>
        <v/>
      </c>
      <c r="L257">
        <f>IF(B257="","",IF(Scoring_Model!V257&lt;&gt;"Yes","Not a slow-mover bundle candidate","Bundle to move slow stock with controlled discount"))</f>
        <v/>
      </c>
    </row>
    <row r="258">
      <c r="A258">
        <f>IF(Scoring_Model!V258&lt;&gt;"Yes","","RB-"&amp;TEXT(COUNTIF(Scoring_Model!$V$2:$V258,"Yes"),"000000"))</f>
        <v/>
      </c>
      <c r="B258">
        <f>Scoring_Model!A258</f>
        <v/>
      </c>
      <c r="C258">
        <f>Scoring_Model!B258</f>
        <v/>
      </c>
      <c r="D258">
        <f>Scoring_Model!C258</f>
        <v/>
      </c>
      <c r="E258">
        <f>Scoring_Model!S258</f>
        <v/>
      </c>
      <c r="F258">
        <f>Scoring_Model!T258</f>
        <v/>
      </c>
      <c r="G258" s="2">
        <f>Scoring_Model!R258</f>
        <v/>
      </c>
      <c r="H258">
        <f>Scoring_Model!P258</f>
        <v/>
      </c>
      <c r="I258">
        <f>IF(Scoring_Model!V258&lt;&gt;"Yes","",IFERROR(XLOOKUP(D258&amp;"|anchor",Scoring_Model!$X$2:$X$300,Scoring_Model!$Y$2:$Y$300,INDEX(Scoring_Model!$Y$2:$Y$300,MATCH("Yes",Scoring_Model!$U$2:$U$300,0))),"No anchor found"))</f>
        <v/>
      </c>
      <c r="J258" s="2">
        <f>Scoring_Model!W258</f>
        <v/>
      </c>
      <c r="K258">
        <f>IF(Scoring_Model!V258&lt;&gt;"Yes","",IF(F258="High Value Bundle","1 anchor + 1 slow mover",IF(F258="Medium Value Bundle","1 anchor + 2 slow movers","1 anchor + 2 slow movers (aggressive clearout)")))</f>
        <v/>
      </c>
      <c r="L258">
        <f>IF(B258="","",IF(Scoring_Model!V258&lt;&gt;"Yes","Not a slow-mover bundle candidate","Bundle to move slow stock with controlled discount"))</f>
        <v/>
      </c>
    </row>
    <row r="259">
      <c r="A259">
        <f>IF(Scoring_Model!V259&lt;&gt;"Yes","","RB-"&amp;TEXT(COUNTIF(Scoring_Model!$V$2:$V259,"Yes"),"000000"))</f>
        <v/>
      </c>
      <c r="B259">
        <f>Scoring_Model!A259</f>
        <v/>
      </c>
      <c r="C259">
        <f>Scoring_Model!B259</f>
        <v/>
      </c>
      <c r="D259">
        <f>Scoring_Model!C259</f>
        <v/>
      </c>
      <c r="E259">
        <f>Scoring_Model!S259</f>
        <v/>
      </c>
      <c r="F259">
        <f>Scoring_Model!T259</f>
        <v/>
      </c>
      <c r="G259" s="2">
        <f>Scoring_Model!R259</f>
        <v/>
      </c>
      <c r="H259">
        <f>Scoring_Model!P259</f>
        <v/>
      </c>
      <c r="I259">
        <f>IF(Scoring_Model!V259&lt;&gt;"Yes","",IFERROR(XLOOKUP(D259&amp;"|anchor",Scoring_Model!$X$2:$X$300,Scoring_Model!$Y$2:$Y$300,INDEX(Scoring_Model!$Y$2:$Y$300,MATCH("Yes",Scoring_Model!$U$2:$U$300,0))),"No anchor found"))</f>
        <v/>
      </c>
      <c r="J259" s="2">
        <f>Scoring_Model!W259</f>
        <v/>
      </c>
      <c r="K259">
        <f>IF(Scoring_Model!V259&lt;&gt;"Yes","",IF(F259="High Value Bundle","1 anchor + 1 slow mover",IF(F259="Medium Value Bundle","1 anchor + 2 slow movers","1 anchor + 2 slow movers (aggressive clearout)")))</f>
        <v/>
      </c>
      <c r="L259">
        <f>IF(B259="","",IF(Scoring_Model!V259&lt;&gt;"Yes","Not a slow-mover bundle candidate","Bundle to move slow stock with controlled discount"))</f>
        <v/>
      </c>
    </row>
    <row r="260">
      <c r="A260">
        <f>IF(Scoring_Model!V260&lt;&gt;"Yes","","RB-"&amp;TEXT(COUNTIF(Scoring_Model!$V$2:$V260,"Yes"),"000000"))</f>
        <v/>
      </c>
      <c r="B260">
        <f>Scoring_Model!A260</f>
        <v/>
      </c>
      <c r="C260">
        <f>Scoring_Model!B260</f>
        <v/>
      </c>
      <c r="D260">
        <f>Scoring_Model!C260</f>
        <v/>
      </c>
      <c r="E260">
        <f>Scoring_Model!S260</f>
        <v/>
      </c>
      <c r="F260">
        <f>Scoring_Model!T260</f>
        <v/>
      </c>
      <c r="G260" s="2">
        <f>Scoring_Model!R260</f>
        <v/>
      </c>
      <c r="H260">
        <f>Scoring_Model!P260</f>
        <v/>
      </c>
      <c r="I260">
        <f>IF(Scoring_Model!V260&lt;&gt;"Yes","",IFERROR(XLOOKUP(D260&amp;"|anchor",Scoring_Model!$X$2:$X$300,Scoring_Model!$Y$2:$Y$300,INDEX(Scoring_Model!$Y$2:$Y$300,MATCH("Yes",Scoring_Model!$U$2:$U$300,0))),"No anchor found"))</f>
        <v/>
      </c>
      <c r="J260" s="2">
        <f>Scoring_Model!W260</f>
        <v/>
      </c>
      <c r="K260">
        <f>IF(Scoring_Model!V260&lt;&gt;"Yes","",IF(F260="High Value Bundle","1 anchor + 1 slow mover",IF(F260="Medium Value Bundle","1 anchor + 2 slow movers","1 anchor + 2 slow movers (aggressive clearout)")))</f>
        <v/>
      </c>
      <c r="L260">
        <f>IF(B260="","",IF(Scoring_Model!V260&lt;&gt;"Yes","Not a slow-mover bundle candidate","Bundle to move slow stock with controlled discount"))</f>
        <v/>
      </c>
    </row>
    <row r="261">
      <c r="A261">
        <f>IF(Scoring_Model!V261&lt;&gt;"Yes","","RB-"&amp;TEXT(COUNTIF(Scoring_Model!$V$2:$V261,"Yes"),"000000"))</f>
        <v/>
      </c>
      <c r="B261">
        <f>Scoring_Model!A261</f>
        <v/>
      </c>
      <c r="C261">
        <f>Scoring_Model!B261</f>
        <v/>
      </c>
      <c r="D261">
        <f>Scoring_Model!C261</f>
        <v/>
      </c>
      <c r="E261">
        <f>Scoring_Model!S261</f>
        <v/>
      </c>
      <c r="F261">
        <f>Scoring_Model!T261</f>
        <v/>
      </c>
      <c r="G261" s="2">
        <f>Scoring_Model!R261</f>
        <v/>
      </c>
      <c r="H261">
        <f>Scoring_Model!P261</f>
        <v/>
      </c>
      <c r="I261">
        <f>IF(Scoring_Model!V261&lt;&gt;"Yes","",IFERROR(XLOOKUP(D261&amp;"|anchor",Scoring_Model!$X$2:$X$300,Scoring_Model!$Y$2:$Y$300,INDEX(Scoring_Model!$Y$2:$Y$300,MATCH("Yes",Scoring_Model!$U$2:$U$300,0))),"No anchor found"))</f>
        <v/>
      </c>
      <c r="J261" s="2">
        <f>Scoring_Model!W261</f>
        <v/>
      </c>
      <c r="K261">
        <f>IF(Scoring_Model!V261&lt;&gt;"Yes","",IF(F261="High Value Bundle","1 anchor + 1 slow mover",IF(F261="Medium Value Bundle","1 anchor + 2 slow movers","1 anchor + 2 slow movers (aggressive clearout)")))</f>
        <v/>
      </c>
      <c r="L261">
        <f>IF(B261="","",IF(Scoring_Model!V261&lt;&gt;"Yes","Not a slow-mover bundle candidate","Bundle to move slow stock with controlled discount"))</f>
        <v/>
      </c>
    </row>
    <row r="262">
      <c r="A262">
        <f>IF(Scoring_Model!V262&lt;&gt;"Yes","","RB-"&amp;TEXT(COUNTIF(Scoring_Model!$V$2:$V262,"Yes"),"000000"))</f>
        <v/>
      </c>
      <c r="B262">
        <f>Scoring_Model!A262</f>
        <v/>
      </c>
      <c r="C262">
        <f>Scoring_Model!B262</f>
        <v/>
      </c>
      <c r="D262">
        <f>Scoring_Model!C262</f>
        <v/>
      </c>
      <c r="E262">
        <f>Scoring_Model!S262</f>
        <v/>
      </c>
      <c r="F262">
        <f>Scoring_Model!T262</f>
        <v/>
      </c>
      <c r="G262" s="2">
        <f>Scoring_Model!R262</f>
        <v/>
      </c>
      <c r="H262">
        <f>Scoring_Model!P262</f>
        <v/>
      </c>
      <c r="I262">
        <f>IF(Scoring_Model!V262&lt;&gt;"Yes","",IFERROR(XLOOKUP(D262&amp;"|anchor",Scoring_Model!$X$2:$X$300,Scoring_Model!$Y$2:$Y$300,INDEX(Scoring_Model!$Y$2:$Y$300,MATCH("Yes",Scoring_Model!$U$2:$U$300,0))),"No anchor found"))</f>
        <v/>
      </c>
      <c r="J262" s="2">
        <f>Scoring_Model!W262</f>
        <v/>
      </c>
      <c r="K262">
        <f>IF(Scoring_Model!V262&lt;&gt;"Yes","",IF(F262="High Value Bundle","1 anchor + 1 slow mover",IF(F262="Medium Value Bundle","1 anchor + 2 slow movers","1 anchor + 2 slow movers (aggressive clearout)")))</f>
        <v/>
      </c>
      <c r="L262">
        <f>IF(B262="","",IF(Scoring_Model!V262&lt;&gt;"Yes","Not a slow-mover bundle candidate","Bundle to move slow stock with controlled discount"))</f>
        <v/>
      </c>
    </row>
    <row r="263">
      <c r="A263">
        <f>IF(Scoring_Model!V263&lt;&gt;"Yes","","RB-"&amp;TEXT(COUNTIF(Scoring_Model!$V$2:$V263,"Yes"),"000000"))</f>
        <v/>
      </c>
      <c r="B263">
        <f>Scoring_Model!A263</f>
        <v/>
      </c>
      <c r="C263">
        <f>Scoring_Model!B263</f>
        <v/>
      </c>
      <c r="D263">
        <f>Scoring_Model!C263</f>
        <v/>
      </c>
      <c r="E263">
        <f>Scoring_Model!S263</f>
        <v/>
      </c>
      <c r="F263">
        <f>Scoring_Model!T263</f>
        <v/>
      </c>
      <c r="G263" s="2">
        <f>Scoring_Model!R263</f>
        <v/>
      </c>
      <c r="H263">
        <f>Scoring_Model!P263</f>
        <v/>
      </c>
      <c r="I263">
        <f>IF(Scoring_Model!V263&lt;&gt;"Yes","",IFERROR(XLOOKUP(D263&amp;"|anchor",Scoring_Model!$X$2:$X$300,Scoring_Model!$Y$2:$Y$300,INDEX(Scoring_Model!$Y$2:$Y$300,MATCH("Yes",Scoring_Model!$U$2:$U$300,0))),"No anchor found"))</f>
        <v/>
      </c>
      <c r="J263" s="2">
        <f>Scoring_Model!W263</f>
        <v/>
      </c>
      <c r="K263">
        <f>IF(Scoring_Model!V263&lt;&gt;"Yes","",IF(F263="High Value Bundle","1 anchor + 1 slow mover",IF(F263="Medium Value Bundle","1 anchor + 2 slow movers","1 anchor + 2 slow movers (aggressive clearout)")))</f>
        <v/>
      </c>
      <c r="L263">
        <f>IF(B263="","",IF(Scoring_Model!V263&lt;&gt;"Yes","Not a slow-mover bundle candidate","Bundle to move slow stock with controlled discount"))</f>
        <v/>
      </c>
    </row>
    <row r="264">
      <c r="A264">
        <f>IF(Scoring_Model!V264&lt;&gt;"Yes","","RB-"&amp;TEXT(COUNTIF(Scoring_Model!$V$2:$V264,"Yes"),"000000"))</f>
        <v/>
      </c>
      <c r="B264">
        <f>Scoring_Model!A264</f>
        <v/>
      </c>
      <c r="C264">
        <f>Scoring_Model!B264</f>
        <v/>
      </c>
      <c r="D264">
        <f>Scoring_Model!C264</f>
        <v/>
      </c>
      <c r="E264">
        <f>Scoring_Model!S264</f>
        <v/>
      </c>
      <c r="F264">
        <f>Scoring_Model!T264</f>
        <v/>
      </c>
      <c r="G264" s="2">
        <f>Scoring_Model!R264</f>
        <v/>
      </c>
      <c r="H264">
        <f>Scoring_Model!P264</f>
        <v/>
      </c>
      <c r="I264">
        <f>IF(Scoring_Model!V264&lt;&gt;"Yes","",IFERROR(XLOOKUP(D264&amp;"|anchor",Scoring_Model!$X$2:$X$300,Scoring_Model!$Y$2:$Y$300,INDEX(Scoring_Model!$Y$2:$Y$300,MATCH("Yes",Scoring_Model!$U$2:$U$300,0))),"No anchor found"))</f>
        <v/>
      </c>
      <c r="J264" s="2">
        <f>Scoring_Model!W264</f>
        <v/>
      </c>
      <c r="K264">
        <f>IF(Scoring_Model!V264&lt;&gt;"Yes","",IF(F264="High Value Bundle","1 anchor + 1 slow mover",IF(F264="Medium Value Bundle","1 anchor + 2 slow movers","1 anchor + 2 slow movers (aggressive clearout)")))</f>
        <v/>
      </c>
      <c r="L264">
        <f>IF(B264="","",IF(Scoring_Model!V264&lt;&gt;"Yes","Not a slow-mover bundle candidate","Bundle to move slow stock with controlled discount"))</f>
        <v/>
      </c>
    </row>
    <row r="265">
      <c r="A265">
        <f>IF(Scoring_Model!V265&lt;&gt;"Yes","","RB-"&amp;TEXT(COUNTIF(Scoring_Model!$V$2:$V265,"Yes"),"000000"))</f>
        <v/>
      </c>
      <c r="B265">
        <f>Scoring_Model!A265</f>
        <v/>
      </c>
      <c r="C265">
        <f>Scoring_Model!B265</f>
        <v/>
      </c>
      <c r="D265">
        <f>Scoring_Model!C265</f>
        <v/>
      </c>
      <c r="E265">
        <f>Scoring_Model!S265</f>
        <v/>
      </c>
      <c r="F265">
        <f>Scoring_Model!T265</f>
        <v/>
      </c>
      <c r="G265" s="2">
        <f>Scoring_Model!R265</f>
        <v/>
      </c>
      <c r="H265">
        <f>Scoring_Model!P265</f>
        <v/>
      </c>
      <c r="I265">
        <f>IF(Scoring_Model!V265&lt;&gt;"Yes","",IFERROR(XLOOKUP(D265&amp;"|anchor",Scoring_Model!$X$2:$X$300,Scoring_Model!$Y$2:$Y$300,INDEX(Scoring_Model!$Y$2:$Y$300,MATCH("Yes",Scoring_Model!$U$2:$U$300,0))),"No anchor found"))</f>
        <v/>
      </c>
      <c r="J265" s="2">
        <f>Scoring_Model!W265</f>
        <v/>
      </c>
      <c r="K265">
        <f>IF(Scoring_Model!V265&lt;&gt;"Yes","",IF(F265="High Value Bundle","1 anchor + 1 slow mover",IF(F265="Medium Value Bundle","1 anchor + 2 slow movers","1 anchor + 2 slow movers (aggressive clearout)")))</f>
        <v/>
      </c>
      <c r="L265">
        <f>IF(B265="","",IF(Scoring_Model!V265&lt;&gt;"Yes","Not a slow-mover bundle candidate","Bundle to move slow stock with controlled discount"))</f>
        <v/>
      </c>
    </row>
    <row r="266">
      <c r="A266">
        <f>IF(Scoring_Model!V266&lt;&gt;"Yes","","RB-"&amp;TEXT(COUNTIF(Scoring_Model!$V$2:$V266,"Yes"),"000000"))</f>
        <v/>
      </c>
      <c r="B266">
        <f>Scoring_Model!A266</f>
        <v/>
      </c>
      <c r="C266">
        <f>Scoring_Model!B266</f>
        <v/>
      </c>
      <c r="D266">
        <f>Scoring_Model!C266</f>
        <v/>
      </c>
      <c r="E266">
        <f>Scoring_Model!S266</f>
        <v/>
      </c>
      <c r="F266">
        <f>Scoring_Model!T266</f>
        <v/>
      </c>
      <c r="G266" s="2">
        <f>Scoring_Model!R266</f>
        <v/>
      </c>
      <c r="H266">
        <f>Scoring_Model!P266</f>
        <v/>
      </c>
      <c r="I266">
        <f>IF(Scoring_Model!V266&lt;&gt;"Yes","",IFERROR(XLOOKUP(D266&amp;"|anchor",Scoring_Model!$X$2:$X$300,Scoring_Model!$Y$2:$Y$300,INDEX(Scoring_Model!$Y$2:$Y$300,MATCH("Yes",Scoring_Model!$U$2:$U$300,0))),"No anchor found"))</f>
        <v/>
      </c>
      <c r="J266" s="2">
        <f>Scoring_Model!W266</f>
        <v/>
      </c>
      <c r="K266">
        <f>IF(Scoring_Model!V266&lt;&gt;"Yes","",IF(F266="High Value Bundle","1 anchor + 1 slow mover",IF(F266="Medium Value Bundle","1 anchor + 2 slow movers","1 anchor + 2 slow movers (aggressive clearout)")))</f>
        <v/>
      </c>
      <c r="L266">
        <f>IF(B266="","",IF(Scoring_Model!V266&lt;&gt;"Yes","Not a slow-mover bundle candidate","Bundle to move slow stock with controlled discount"))</f>
        <v/>
      </c>
    </row>
    <row r="267">
      <c r="A267">
        <f>IF(Scoring_Model!V267&lt;&gt;"Yes","","RB-"&amp;TEXT(COUNTIF(Scoring_Model!$V$2:$V267,"Yes"),"000000"))</f>
        <v/>
      </c>
      <c r="B267">
        <f>Scoring_Model!A267</f>
        <v/>
      </c>
      <c r="C267">
        <f>Scoring_Model!B267</f>
        <v/>
      </c>
      <c r="D267">
        <f>Scoring_Model!C267</f>
        <v/>
      </c>
      <c r="E267">
        <f>Scoring_Model!S267</f>
        <v/>
      </c>
      <c r="F267">
        <f>Scoring_Model!T267</f>
        <v/>
      </c>
      <c r="G267" s="2">
        <f>Scoring_Model!R267</f>
        <v/>
      </c>
      <c r="H267">
        <f>Scoring_Model!P267</f>
        <v/>
      </c>
      <c r="I267">
        <f>IF(Scoring_Model!V267&lt;&gt;"Yes","",IFERROR(XLOOKUP(D267&amp;"|anchor",Scoring_Model!$X$2:$X$300,Scoring_Model!$Y$2:$Y$300,INDEX(Scoring_Model!$Y$2:$Y$300,MATCH("Yes",Scoring_Model!$U$2:$U$300,0))),"No anchor found"))</f>
        <v/>
      </c>
      <c r="J267" s="2">
        <f>Scoring_Model!W267</f>
        <v/>
      </c>
      <c r="K267">
        <f>IF(Scoring_Model!V267&lt;&gt;"Yes","",IF(F267="High Value Bundle","1 anchor + 1 slow mover",IF(F267="Medium Value Bundle","1 anchor + 2 slow movers","1 anchor + 2 slow movers (aggressive clearout)")))</f>
        <v/>
      </c>
      <c r="L267">
        <f>IF(B267="","",IF(Scoring_Model!V267&lt;&gt;"Yes","Not a slow-mover bundle candidate","Bundle to move slow stock with controlled discount"))</f>
        <v/>
      </c>
    </row>
    <row r="268">
      <c r="A268">
        <f>IF(Scoring_Model!V268&lt;&gt;"Yes","","RB-"&amp;TEXT(COUNTIF(Scoring_Model!$V$2:$V268,"Yes"),"000000"))</f>
        <v/>
      </c>
      <c r="B268">
        <f>Scoring_Model!A268</f>
        <v/>
      </c>
      <c r="C268">
        <f>Scoring_Model!B268</f>
        <v/>
      </c>
      <c r="D268">
        <f>Scoring_Model!C268</f>
        <v/>
      </c>
      <c r="E268">
        <f>Scoring_Model!S268</f>
        <v/>
      </c>
      <c r="F268">
        <f>Scoring_Model!T268</f>
        <v/>
      </c>
      <c r="G268" s="2">
        <f>Scoring_Model!R268</f>
        <v/>
      </c>
      <c r="H268">
        <f>Scoring_Model!P268</f>
        <v/>
      </c>
      <c r="I268">
        <f>IF(Scoring_Model!V268&lt;&gt;"Yes","",IFERROR(XLOOKUP(D268&amp;"|anchor",Scoring_Model!$X$2:$X$300,Scoring_Model!$Y$2:$Y$300,INDEX(Scoring_Model!$Y$2:$Y$300,MATCH("Yes",Scoring_Model!$U$2:$U$300,0))),"No anchor found"))</f>
        <v/>
      </c>
      <c r="J268" s="2">
        <f>Scoring_Model!W268</f>
        <v/>
      </c>
      <c r="K268">
        <f>IF(Scoring_Model!V268&lt;&gt;"Yes","",IF(F268="High Value Bundle","1 anchor + 1 slow mover",IF(F268="Medium Value Bundle","1 anchor + 2 slow movers","1 anchor + 2 slow movers (aggressive clearout)")))</f>
        <v/>
      </c>
      <c r="L268">
        <f>IF(B268="","",IF(Scoring_Model!V268&lt;&gt;"Yes","Not a slow-mover bundle candidate","Bundle to move slow stock with controlled discount"))</f>
        <v/>
      </c>
    </row>
    <row r="269">
      <c r="A269">
        <f>IF(Scoring_Model!V269&lt;&gt;"Yes","","RB-"&amp;TEXT(COUNTIF(Scoring_Model!$V$2:$V269,"Yes"),"000000"))</f>
        <v/>
      </c>
      <c r="B269">
        <f>Scoring_Model!A269</f>
        <v/>
      </c>
      <c r="C269">
        <f>Scoring_Model!B269</f>
        <v/>
      </c>
      <c r="D269">
        <f>Scoring_Model!C269</f>
        <v/>
      </c>
      <c r="E269">
        <f>Scoring_Model!S269</f>
        <v/>
      </c>
      <c r="F269">
        <f>Scoring_Model!T269</f>
        <v/>
      </c>
      <c r="G269" s="2">
        <f>Scoring_Model!R269</f>
        <v/>
      </c>
      <c r="H269">
        <f>Scoring_Model!P269</f>
        <v/>
      </c>
      <c r="I269">
        <f>IF(Scoring_Model!V269&lt;&gt;"Yes","",IFERROR(XLOOKUP(D269&amp;"|anchor",Scoring_Model!$X$2:$X$300,Scoring_Model!$Y$2:$Y$300,INDEX(Scoring_Model!$Y$2:$Y$300,MATCH("Yes",Scoring_Model!$U$2:$U$300,0))),"No anchor found"))</f>
        <v/>
      </c>
      <c r="J269" s="2">
        <f>Scoring_Model!W269</f>
        <v/>
      </c>
      <c r="K269">
        <f>IF(Scoring_Model!V269&lt;&gt;"Yes","",IF(F269="High Value Bundle","1 anchor + 1 slow mover",IF(F269="Medium Value Bundle","1 anchor + 2 slow movers","1 anchor + 2 slow movers (aggressive clearout)")))</f>
        <v/>
      </c>
      <c r="L269">
        <f>IF(B269="","",IF(Scoring_Model!V269&lt;&gt;"Yes","Not a slow-mover bundle candidate","Bundle to move slow stock with controlled discount"))</f>
        <v/>
      </c>
    </row>
    <row r="270">
      <c r="A270">
        <f>IF(Scoring_Model!V270&lt;&gt;"Yes","","RB-"&amp;TEXT(COUNTIF(Scoring_Model!$V$2:$V270,"Yes"),"000000"))</f>
        <v/>
      </c>
      <c r="B270">
        <f>Scoring_Model!A270</f>
        <v/>
      </c>
      <c r="C270">
        <f>Scoring_Model!B270</f>
        <v/>
      </c>
      <c r="D270">
        <f>Scoring_Model!C270</f>
        <v/>
      </c>
      <c r="E270">
        <f>Scoring_Model!S270</f>
        <v/>
      </c>
      <c r="F270">
        <f>Scoring_Model!T270</f>
        <v/>
      </c>
      <c r="G270" s="2">
        <f>Scoring_Model!R270</f>
        <v/>
      </c>
      <c r="H270">
        <f>Scoring_Model!P270</f>
        <v/>
      </c>
      <c r="I270">
        <f>IF(Scoring_Model!V270&lt;&gt;"Yes","",IFERROR(XLOOKUP(D270&amp;"|anchor",Scoring_Model!$X$2:$X$300,Scoring_Model!$Y$2:$Y$300,INDEX(Scoring_Model!$Y$2:$Y$300,MATCH("Yes",Scoring_Model!$U$2:$U$300,0))),"No anchor found"))</f>
        <v/>
      </c>
      <c r="J270" s="2">
        <f>Scoring_Model!W270</f>
        <v/>
      </c>
      <c r="K270">
        <f>IF(Scoring_Model!V270&lt;&gt;"Yes","",IF(F270="High Value Bundle","1 anchor + 1 slow mover",IF(F270="Medium Value Bundle","1 anchor + 2 slow movers","1 anchor + 2 slow movers (aggressive clearout)")))</f>
        <v/>
      </c>
      <c r="L270">
        <f>IF(B270="","",IF(Scoring_Model!V270&lt;&gt;"Yes","Not a slow-mover bundle candidate","Bundle to move slow stock with controlled discount"))</f>
        <v/>
      </c>
    </row>
    <row r="271">
      <c r="A271">
        <f>IF(Scoring_Model!V271&lt;&gt;"Yes","","RB-"&amp;TEXT(COUNTIF(Scoring_Model!$V$2:$V271,"Yes"),"000000"))</f>
        <v/>
      </c>
      <c r="B271">
        <f>Scoring_Model!A271</f>
        <v/>
      </c>
      <c r="C271">
        <f>Scoring_Model!B271</f>
        <v/>
      </c>
      <c r="D271">
        <f>Scoring_Model!C271</f>
        <v/>
      </c>
      <c r="E271">
        <f>Scoring_Model!S271</f>
        <v/>
      </c>
      <c r="F271">
        <f>Scoring_Model!T271</f>
        <v/>
      </c>
      <c r="G271" s="2">
        <f>Scoring_Model!R271</f>
        <v/>
      </c>
      <c r="H271">
        <f>Scoring_Model!P271</f>
        <v/>
      </c>
      <c r="I271">
        <f>IF(Scoring_Model!V271&lt;&gt;"Yes","",IFERROR(XLOOKUP(D271&amp;"|anchor",Scoring_Model!$X$2:$X$300,Scoring_Model!$Y$2:$Y$300,INDEX(Scoring_Model!$Y$2:$Y$300,MATCH("Yes",Scoring_Model!$U$2:$U$300,0))),"No anchor found"))</f>
        <v/>
      </c>
      <c r="J271" s="2">
        <f>Scoring_Model!W271</f>
        <v/>
      </c>
      <c r="K271">
        <f>IF(Scoring_Model!V271&lt;&gt;"Yes","",IF(F271="High Value Bundle","1 anchor + 1 slow mover",IF(F271="Medium Value Bundle","1 anchor + 2 slow movers","1 anchor + 2 slow movers (aggressive clearout)")))</f>
        <v/>
      </c>
      <c r="L271">
        <f>IF(B271="","",IF(Scoring_Model!V271&lt;&gt;"Yes","Not a slow-mover bundle candidate","Bundle to move slow stock with controlled discount"))</f>
        <v/>
      </c>
    </row>
    <row r="272">
      <c r="A272">
        <f>IF(Scoring_Model!V272&lt;&gt;"Yes","","RB-"&amp;TEXT(COUNTIF(Scoring_Model!$V$2:$V272,"Yes"),"000000"))</f>
        <v/>
      </c>
      <c r="B272">
        <f>Scoring_Model!A272</f>
        <v/>
      </c>
      <c r="C272">
        <f>Scoring_Model!B272</f>
        <v/>
      </c>
      <c r="D272">
        <f>Scoring_Model!C272</f>
        <v/>
      </c>
      <c r="E272">
        <f>Scoring_Model!S272</f>
        <v/>
      </c>
      <c r="F272">
        <f>Scoring_Model!T272</f>
        <v/>
      </c>
      <c r="G272" s="2">
        <f>Scoring_Model!R272</f>
        <v/>
      </c>
      <c r="H272">
        <f>Scoring_Model!P272</f>
        <v/>
      </c>
      <c r="I272">
        <f>IF(Scoring_Model!V272&lt;&gt;"Yes","",IFERROR(XLOOKUP(D272&amp;"|anchor",Scoring_Model!$X$2:$X$300,Scoring_Model!$Y$2:$Y$300,INDEX(Scoring_Model!$Y$2:$Y$300,MATCH("Yes",Scoring_Model!$U$2:$U$300,0))),"No anchor found"))</f>
        <v/>
      </c>
      <c r="J272" s="2">
        <f>Scoring_Model!W272</f>
        <v/>
      </c>
      <c r="K272">
        <f>IF(Scoring_Model!V272&lt;&gt;"Yes","",IF(F272="High Value Bundle","1 anchor + 1 slow mover",IF(F272="Medium Value Bundle","1 anchor + 2 slow movers","1 anchor + 2 slow movers (aggressive clearout)")))</f>
        <v/>
      </c>
      <c r="L272">
        <f>IF(B272="","",IF(Scoring_Model!V272&lt;&gt;"Yes","Not a slow-mover bundle candidate","Bundle to move slow stock with controlled discount"))</f>
        <v/>
      </c>
    </row>
    <row r="273">
      <c r="A273">
        <f>IF(Scoring_Model!V273&lt;&gt;"Yes","","RB-"&amp;TEXT(COUNTIF(Scoring_Model!$V$2:$V273,"Yes"),"000000"))</f>
        <v/>
      </c>
      <c r="B273">
        <f>Scoring_Model!A273</f>
        <v/>
      </c>
      <c r="C273">
        <f>Scoring_Model!B273</f>
        <v/>
      </c>
      <c r="D273">
        <f>Scoring_Model!C273</f>
        <v/>
      </c>
      <c r="E273">
        <f>Scoring_Model!S273</f>
        <v/>
      </c>
      <c r="F273">
        <f>Scoring_Model!T273</f>
        <v/>
      </c>
      <c r="G273" s="2">
        <f>Scoring_Model!R273</f>
        <v/>
      </c>
      <c r="H273">
        <f>Scoring_Model!P273</f>
        <v/>
      </c>
      <c r="I273">
        <f>IF(Scoring_Model!V273&lt;&gt;"Yes","",IFERROR(XLOOKUP(D273&amp;"|anchor",Scoring_Model!$X$2:$X$300,Scoring_Model!$Y$2:$Y$300,INDEX(Scoring_Model!$Y$2:$Y$300,MATCH("Yes",Scoring_Model!$U$2:$U$300,0))),"No anchor found"))</f>
        <v/>
      </c>
      <c r="J273" s="2">
        <f>Scoring_Model!W273</f>
        <v/>
      </c>
      <c r="K273">
        <f>IF(Scoring_Model!V273&lt;&gt;"Yes","",IF(F273="High Value Bundle","1 anchor + 1 slow mover",IF(F273="Medium Value Bundle","1 anchor + 2 slow movers","1 anchor + 2 slow movers (aggressive clearout)")))</f>
        <v/>
      </c>
      <c r="L273">
        <f>IF(B273="","",IF(Scoring_Model!V273&lt;&gt;"Yes","Not a slow-mover bundle candidate","Bundle to move slow stock with controlled discount"))</f>
        <v/>
      </c>
    </row>
    <row r="274">
      <c r="A274">
        <f>IF(Scoring_Model!V274&lt;&gt;"Yes","","RB-"&amp;TEXT(COUNTIF(Scoring_Model!$V$2:$V274,"Yes"),"000000"))</f>
        <v/>
      </c>
      <c r="B274">
        <f>Scoring_Model!A274</f>
        <v/>
      </c>
      <c r="C274">
        <f>Scoring_Model!B274</f>
        <v/>
      </c>
      <c r="D274">
        <f>Scoring_Model!C274</f>
        <v/>
      </c>
      <c r="E274">
        <f>Scoring_Model!S274</f>
        <v/>
      </c>
      <c r="F274">
        <f>Scoring_Model!T274</f>
        <v/>
      </c>
      <c r="G274" s="2">
        <f>Scoring_Model!R274</f>
        <v/>
      </c>
      <c r="H274">
        <f>Scoring_Model!P274</f>
        <v/>
      </c>
      <c r="I274">
        <f>IF(Scoring_Model!V274&lt;&gt;"Yes","",IFERROR(XLOOKUP(D274&amp;"|anchor",Scoring_Model!$X$2:$X$300,Scoring_Model!$Y$2:$Y$300,INDEX(Scoring_Model!$Y$2:$Y$300,MATCH("Yes",Scoring_Model!$U$2:$U$300,0))),"No anchor found"))</f>
        <v/>
      </c>
      <c r="J274" s="2">
        <f>Scoring_Model!W274</f>
        <v/>
      </c>
      <c r="K274">
        <f>IF(Scoring_Model!V274&lt;&gt;"Yes","",IF(F274="High Value Bundle","1 anchor + 1 slow mover",IF(F274="Medium Value Bundle","1 anchor + 2 slow movers","1 anchor + 2 slow movers (aggressive clearout)")))</f>
        <v/>
      </c>
      <c r="L274">
        <f>IF(B274="","",IF(Scoring_Model!V274&lt;&gt;"Yes","Not a slow-mover bundle candidate","Bundle to move slow stock with controlled discount"))</f>
        <v/>
      </c>
    </row>
    <row r="275">
      <c r="A275">
        <f>IF(Scoring_Model!V275&lt;&gt;"Yes","","RB-"&amp;TEXT(COUNTIF(Scoring_Model!$V$2:$V275,"Yes"),"000000"))</f>
        <v/>
      </c>
      <c r="B275">
        <f>Scoring_Model!A275</f>
        <v/>
      </c>
      <c r="C275">
        <f>Scoring_Model!B275</f>
        <v/>
      </c>
      <c r="D275">
        <f>Scoring_Model!C275</f>
        <v/>
      </c>
      <c r="E275">
        <f>Scoring_Model!S275</f>
        <v/>
      </c>
      <c r="F275">
        <f>Scoring_Model!T275</f>
        <v/>
      </c>
      <c r="G275" s="2">
        <f>Scoring_Model!R275</f>
        <v/>
      </c>
      <c r="H275">
        <f>Scoring_Model!P275</f>
        <v/>
      </c>
      <c r="I275">
        <f>IF(Scoring_Model!V275&lt;&gt;"Yes","",IFERROR(XLOOKUP(D275&amp;"|anchor",Scoring_Model!$X$2:$X$300,Scoring_Model!$Y$2:$Y$300,INDEX(Scoring_Model!$Y$2:$Y$300,MATCH("Yes",Scoring_Model!$U$2:$U$300,0))),"No anchor found"))</f>
        <v/>
      </c>
      <c r="J275" s="2">
        <f>Scoring_Model!W275</f>
        <v/>
      </c>
      <c r="K275">
        <f>IF(Scoring_Model!V275&lt;&gt;"Yes","",IF(F275="High Value Bundle","1 anchor + 1 slow mover",IF(F275="Medium Value Bundle","1 anchor + 2 slow movers","1 anchor + 2 slow movers (aggressive clearout)")))</f>
        <v/>
      </c>
      <c r="L275">
        <f>IF(B275="","",IF(Scoring_Model!V275&lt;&gt;"Yes","Not a slow-mover bundle candidate","Bundle to move slow stock with controlled discount"))</f>
        <v/>
      </c>
    </row>
    <row r="276">
      <c r="A276">
        <f>IF(Scoring_Model!V276&lt;&gt;"Yes","","RB-"&amp;TEXT(COUNTIF(Scoring_Model!$V$2:$V276,"Yes"),"000000"))</f>
        <v/>
      </c>
      <c r="B276">
        <f>Scoring_Model!A276</f>
        <v/>
      </c>
      <c r="C276">
        <f>Scoring_Model!B276</f>
        <v/>
      </c>
      <c r="D276">
        <f>Scoring_Model!C276</f>
        <v/>
      </c>
      <c r="E276">
        <f>Scoring_Model!S276</f>
        <v/>
      </c>
      <c r="F276">
        <f>Scoring_Model!T276</f>
        <v/>
      </c>
      <c r="G276" s="2">
        <f>Scoring_Model!R276</f>
        <v/>
      </c>
      <c r="H276">
        <f>Scoring_Model!P276</f>
        <v/>
      </c>
      <c r="I276">
        <f>IF(Scoring_Model!V276&lt;&gt;"Yes","",IFERROR(XLOOKUP(D276&amp;"|anchor",Scoring_Model!$X$2:$X$300,Scoring_Model!$Y$2:$Y$300,INDEX(Scoring_Model!$Y$2:$Y$300,MATCH("Yes",Scoring_Model!$U$2:$U$300,0))),"No anchor found"))</f>
        <v/>
      </c>
      <c r="J276" s="2">
        <f>Scoring_Model!W276</f>
        <v/>
      </c>
      <c r="K276">
        <f>IF(Scoring_Model!V276&lt;&gt;"Yes","",IF(F276="High Value Bundle","1 anchor + 1 slow mover",IF(F276="Medium Value Bundle","1 anchor + 2 slow movers","1 anchor + 2 slow movers (aggressive clearout)")))</f>
        <v/>
      </c>
      <c r="L276">
        <f>IF(B276="","",IF(Scoring_Model!V276&lt;&gt;"Yes","Not a slow-mover bundle candidate","Bundle to move slow stock with controlled discount"))</f>
        <v/>
      </c>
    </row>
    <row r="277">
      <c r="A277">
        <f>IF(Scoring_Model!V277&lt;&gt;"Yes","","RB-"&amp;TEXT(COUNTIF(Scoring_Model!$V$2:$V277,"Yes"),"000000"))</f>
        <v/>
      </c>
      <c r="B277">
        <f>Scoring_Model!A277</f>
        <v/>
      </c>
      <c r="C277">
        <f>Scoring_Model!B277</f>
        <v/>
      </c>
      <c r="D277">
        <f>Scoring_Model!C277</f>
        <v/>
      </c>
      <c r="E277">
        <f>Scoring_Model!S277</f>
        <v/>
      </c>
      <c r="F277">
        <f>Scoring_Model!T277</f>
        <v/>
      </c>
      <c r="G277" s="2">
        <f>Scoring_Model!R277</f>
        <v/>
      </c>
      <c r="H277">
        <f>Scoring_Model!P277</f>
        <v/>
      </c>
      <c r="I277">
        <f>IF(Scoring_Model!V277&lt;&gt;"Yes","",IFERROR(XLOOKUP(D277&amp;"|anchor",Scoring_Model!$X$2:$X$300,Scoring_Model!$Y$2:$Y$300,INDEX(Scoring_Model!$Y$2:$Y$300,MATCH("Yes",Scoring_Model!$U$2:$U$300,0))),"No anchor found"))</f>
        <v/>
      </c>
      <c r="J277" s="2">
        <f>Scoring_Model!W277</f>
        <v/>
      </c>
      <c r="K277">
        <f>IF(Scoring_Model!V277&lt;&gt;"Yes","",IF(F277="High Value Bundle","1 anchor + 1 slow mover",IF(F277="Medium Value Bundle","1 anchor + 2 slow movers","1 anchor + 2 slow movers (aggressive clearout)")))</f>
        <v/>
      </c>
      <c r="L277">
        <f>IF(B277="","",IF(Scoring_Model!V277&lt;&gt;"Yes","Not a slow-mover bundle candidate","Bundle to move slow stock with controlled discount"))</f>
        <v/>
      </c>
    </row>
    <row r="278">
      <c r="A278">
        <f>IF(Scoring_Model!V278&lt;&gt;"Yes","","RB-"&amp;TEXT(COUNTIF(Scoring_Model!$V$2:$V278,"Yes"),"000000"))</f>
        <v/>
      </c>
      <c r="B278">
        <f>Scoring_Model!A278</f>
        <v/>
      </c>
      <c r="C278">
        <f>Scoring_Model!B278</f>
        <v/>
      </c>
      <c r="D278">
        <f>Scoring_Model!C278</f>
        <v/>
      </c>
      <c r="E278">
        <f>Scoring_Model!S278</f>
        <v/>
      </c>
      <c r="F278">
        <f>Scoring_Model!T278</f>
        <v/>
      </c>
      <c r="G278" s="2">
        <f>Scoring_Model!R278</f>
        <v/>
      </c>
      <c r="H278">
        <f>Scoring_Model!P278</f>
        <v/>
      </c>
      <c r="I278">
        <f>IF(Scoring_Model!V278&lt;&gt;"Yes","",IFERROR(XLOOKUP(D278&amp;"|anchor",Scoring_Model!$X$2:$X$300,Scoring_Model!$Y$2:$Y$300,INDEX(Scoring_Model!$Y$2:$Y$300,MATCH("Yes",Scoring_Model!$U$2:$U$300,0))),"No anchor found"))</f>
        <v/>
      </c>
      <c r="J278" s="2">
        <f>Scoring_Model!W278</f>
        <v/>
      </c>
      <c r="K278">
        <f>IF(Scoring_Model!V278&lt;&gt;"Yes","",IF(F278="High Value Bundle","1 anchor + 1 slow mover",IF(F278="Medium Value Bundle","1 anchor + 2 slow movers","1 anchor + 2 slow movers (aggressive clearout)")))</f>
        <v/>
      </c>
      <c r="L278">
        <f>IF(B278="","",IF(Scoring_Model!V278&lt;&gt;"Yes","Not a slow-mover bundle candidate","Bundle to move slow stock with controlled discount"))</f>
        <v/>
      </c>
    </row>
    <row r="279">
      <c r="A279">
        <f>IF(Scoring_Model!V279&lt;&gt;"Yes","","RB-"&amp;TEXT(COUNTIF(Scoring_Model!$V$2:$V279,"Yes"),"000000"))</f>
        <v/>
      </c>
      <c r="B279">
        <f>Scoring_Model!A279</f>
        <v/>
      </c>
      <c r="C279">
        <f>Scoring_Model!B279</f>
        <v/>
      </c>
      <c r="D279">
        <f>Scoring_Model!C279</f>
        <v/>
      </c>
      <c r="E279">
        <f>Scoring_Model!S279</f>
        <v/>
      </c>
      <c r="F279">
        <f>Scoring_Model!T279</f>
        <v/>
      </c>
      <c r="G279" s="2">
        <f>Scoring_Model!R279</f>
        <v/>
      </c>
      <c r="H279">
        <f>Scoring_Model!P279</f>
        <v/>
      </c>
      <c r="I279">
        <f>IF(Scoring_Model!V279&lt;&gt;"Yes","",IFERROR(XLOOKUP(D279&amp;"|anchor",Scoring_Model!$X$2:$X$300,Scoring_Model!$Y$2:$Y$300,INDEX(Scoring_Model!$Y$2:$Y$300,MATCH("Yes",Scoring_Model!$U$2:$U$300,0))),"No anchor found"))</f>
        <v/>
      </c>
      <c r="J279" s="2">
        <f>Scoring_Model!W279</f>
        <v/>
      </c>
      <c r="K279">
        <f>IF(Scoring_Model!V279&lt;&gt;"Yes","",IF(F279="High Value Bundle","1 anchor + 1 slow mover",IF(F279="Medium Value Bundle","1 anchor + 2 slow movers","1 anchor + 2 slow movers (aggressive clearout)")))</f>
        <v/>
      </c>
      <c r="L279">
        <f>IF(B279="","",IF(Scoring_Model!V279&lt;&gt;"Yes","Not a slow-mover bundle candidate","Bundle to move slow stock with controlled discount"))</f>
        <v/>
      </c>
    </row>
    <row r="280">
      <c r="A280">
        <f>IF(Scoring_Model!V280&lt;&gt;"Yes","","RB-"&amp;TEXT(COUNTIF(Scoring_Model!$V$2:$V280,"Yes"),"000000"))</f>
        <v/>
      </c>
      <c r="B280">
        <f>Scoring_Model!A280</f>
        <v/>
      </c>
      <c r="C280">
        <f>Scoring_Model!B280</f>
        <v/>
      </c>
      <c r="D280">
        <f>Scoring_Model!C280</f>
        <v/>
      </c>
      <c r="E280">
        <f>Scoring_Model!S280</f>
        <v/>
      </c>
      <c r="F280">
        <f>Scoring_Model!T280</f>
        <v/>
      </c>
      <c r="G280" s="2">
        <f>Scoring_Model!R280</f>
        <v/>
      </c>
      <c r="H280">
        <f>Scoring_Model!P280</f>
        <v/>
      </c>
      <c r="I280">
        <f>IF(Scoring_Model!V280&lt;&gt;"Yes","",IFERROR(XLOOKUP(D280&amp;"|anchor",Scoring_Model!$X$2:$X$300,Scoring_Model!$Y$2:$Y$300,INDEX(Scoring_Model!$Y$2:$Y$300,MATCH("Yes",Scoring_Model!$U$2:$U$300,0))),"No anchor found"))</f>
        <v/>
      </c>
      <c r="J280" s="2">
        <f>Scoring_Model!W280</f>
        <v/>
      </c>
      <c r="K280">
        <f>IF(Scoring_Model!V280&lt;&gt;"Yes","",IF(F280="High Value Bundle","1 anchor + 1 slow mover",IF(F280="Medium Value Bundle","1 anchor + 2 slow movers","1 anchor + 2 slow movers (aggressive clearout)")))</f>
        <v/>
      </c>
      <c r="L280">
        <f>IF(B280="","",IF(Scoring_Model!V280&lt;&gt;"Yes","Not a slow-mover bundle candidate","Bundle to move slow stock with controlled discount"))</f>
        <v/>
      </c>
    </row>
    <row r="281">
      <c r="A281">
        <f>IF(Scoring_Model!V281&lt;&gt;"Yes","","RB-"&amp;TEXT(COUNTIF(Scoring_Model!$V$2:$V281,"Yes"),"000000"))</f>
        <v/>
      </c>
      <c r="B281">
        <f>Scoring_Model!A281</f>
        <v/>
      </c>
      <c r="C281">
        <f>Scoring_Model!B281</f>
        <v/>
      </c>
      <c r="D281">
        <f>Scoring_Model!C281</f>
        <v/>
      </c>
      <c r="E281">
        <f>Scoring_Model!S281</f>
        <v/>
      </c>
      <c r="F281">
        <f>Scoring_Model!T281</f>
        <v/>
      </c>
      <c r="G281" s="2">
        <f>Scoring_Model!R281</f>
        <v/>
      </c>
      <c r="H281">
        <f>Scoring_Model!P281</f>
        <v/>
      </c>
      <c r="I281">
        <f>IF(Scoring_Model!V281&lt;&gt;"Yes","",IFERROR(XLOOKUP(D281&amp;"|anchor",Scoring_Model!$X$2:$X$300,Scoring_Model!$Y$2:$Y$300,INDEX(Scoring_Model!$Y$2:$Y$300,MATCH("Yes",Scoring_Model!$U$2:$U$300,0))),"No anchor found"))</f>
        <v/>
      </c>
      <c r="J281" s="2">
        <f>Scoring_Model!W281</f>
        <v/>
      </c>
      <c r="K281">
        <f>IF(Scoring_Model!V281&lt;&gt;"Yes","",IF(F281="High Value Bundle","1 anchor + 1 slow mover",IF(F281="Medium Value Bundle","1 anchor + 2 slow movers","1 anchor + 2 slow movers (aggressive clearout)")))</f>
        <v/>
      </c>
      <c r="L281">
        <f>IF(B281="","",IF(Scoring_Model!V281&lt;&gt;"Yes","Not a slow-mover bundle candidate","Bundle to move slow stock with controlled discount"))</f>
        <v/>
      </c>
    </row>
    <row r="282">
      <c r="A282">
        <f>IF(Scoring_Model!V282&lt;&gt;"Yes","","RB-"&amp;TEXT(COUNTIF(Scoring_Model!$V$2:$V282,"Yes"),"000000"))</f>
        <v/>
      </c>
      <c r="B282">
        <f>Scoring_Model!A282</f>
        <v/>
      </c>
      <c r="C282">
        <f>Scoring_Model!B282</f>
        <v/>
      </c>
      <c r="D282">
        <f>Scoring_Model!C282</f>
        <v/>
      </c>
      <c r="E282">
        <f>Scoring_Model!S282</f>
        <v/>
      </c>
      <c r="F282">
        <f>Scoring_Model!T282</f>
        <v/>
      </c>
      <c r="G282" s="2">
        <f>Scoring_Model!R282</f>
        <v/>
      </c>
      <c r="H282">
        <f>Scoring_Model!P282</f>
        <v/>
      </c>
      <c r="I282">
        <f>IF(Scoring_Model!V282&lt;&gt;"Yes","",IFERROR(XLOOKUP(D282&amp;"|anchor",Scoring_Model!$X$2:$X$300,Scoring_Model!$Y$2:$Y$300,INDEX(Scoring_Model!$Y$2:$Y$300,MATCH("Yes",Scoring_Model!$U$2:$U$300,0))),"No anchor found"))</f>
        <v/>
      </c>
      <c r="J282" s="2">
        <f>Scoring_Model!W282</f>
        <v/>
      </c>
      <c r="K282">
        <f>IF(Scoring_Model!V282&lt;&gt;"Yes","",IF(F282="High Value Bundle","1 anchor + 1 slow mover",IF(F282="Medium Value Bundle","1 anchor + 2 slow movers","1 anchor + 2 slow movers (aggressive clearout)")))</f>
        <v/>
      </c>
      <c r="L282">
        <f>IF(B282="","",IF(Scoring_Model!V282&lt;&gt;"Yes","Not a slow-mover bundle candidate","Bundle to move slow stock with controlled discount"))</f>
        <v/>
      </c>
    </row>
    <row r="283">
      <c r="A283">
        <f>IF(Scoring_Model!V283&lt;&gt;"Yes","","RB-"&amp;TEXT(COUNTIF(Scoring_Model!$V$2:$V283,"Yes"),"000000"))</f>
        <v/>
      </c>
      <c r="B283">
        <f>Scoring_Model!A283</f>
        <v/>
      </c>
      <c r="C283">
        <f>Scoring_Model!B283</f>
        <v/>
      </c>
      <c r="D283">
        <f>Scoring_Model!C283</f>
        <v/>
      </c>
      <c r="E283">
        <f>Scoring_Model!S283</f>
        <v/>
      </c>
      <c r="F283">
        <f>Scoring_Model!T283</f>
        <v/>
      </c>
      <c r="G283" s="2">
        <f>Scoring_Model!R283</f>
        <v/>
      </c>
      <c r="H283">
        <f>Scoring_Model!P283</f>
        <v/>
      </c>
      <c r="I283">
        <f>IF(Scoring_Model!V283&lt;&gt;"Yes","",IFERROR(XLOOKUP(D283&amp;"|anchor",Scoring_Model!$X$2:$X$300,Scoring_Model!$Y$2:$Y$300,INDEX(Scoring_Model!$Y$2:$Y$300,MATCH("Yes",Scoring_Model!$U$2:$U$300,0))),"No anchor found"))</f>
        <v/>
      </c>
      <c r="J283" s="2">
        <f>Scoring_Model!W283</f>
        <v/>
      </c>
      <c r="K283">
        <f>IF(Scoring_Model!V283&lt;&gt;"Yes","",IF(F283="High Value Bundle","1 anchor + 1 slow mover",IF(F283="Medium Value Bundle","1 anchor + 2 slow movers","1 anchor + 2 slow movers (aggressive clearout)")))</f>
        <v/>
      </c>
      <c r="L283">
        <f>IF(B283="","",IF(Scoring_Model!V283&lt;&gt;"Yes","Not a slow-mover bundle candidate","Bundle to move slow stock with controlled discount"))</f>
        <v/>
      </c>
    </row>
    <row r="284">
      <c r="A284">
        <f>IF(Scoring_Model!V284&lt;&gt;"Yes","","RB-"&amp;TEXT(COUNTIF(Scoring_Model!$V$2:$V284,"Yes"),"000000"))</f>
        <v/>
      </c>
      <c r="B284">
        <f>Scoring_Model!A284</f>
        <v/>
      </c>
      <c r="C284">
        <f>Scoring_Model!B284</f>
        <v/>
      </c>
      <c r="D284">
        <f>Scoring_Model!C284</f>
        <v/>
      </c>
      <c r="E284">
        <f>Scoring_Model!S284</f>
        <v/>
      </c>
      <c r="F284">
        <f>Scoring_Model!T284</f>
        <v/>
      </c>
      <c r="G284" s="2">
        <f>Scoring_Model!R284</f>
        <v/>
      </c>
      <c r="H284">
        <f>Scoring_Model!P284</f>
        <v/>
      </c>
      <c r="I284">
        <f>IF(Scoring_Model!V284&lt;&gt;"Yes","",IFERROR(XLOOKUP(D284&amp;"|anchor",Scoring_Model!$X$2:$X$300,Scoring_Model!$Y$2:$Y$300,INDEX(Scoring_Model!$Y$2:$Y$300,MATCH("Yes",Scoring_Model!$U$2:$U$300,0))),"No anchor found"))</f>
        <v/>
      </c>
      <c r="J284" s="2">
        <f>Scoring_Model!W284</f>
        <v/>
      </c>
      <c r="K284">
        <f>IF(Scoring_Model!V284&lt;&gt;"Yes","",IF(F284="High Value Bundle","1 anchor + 1 slow mover",IF(F284="Medium Value Bundle","1 anchor + 2 slow movers","1 anchor + 2 slow movers (aggressive clearout)")))</f>
        <v/>
      </c>
      <c r="L284">
        <f>IF(B284="","",IF(Scoring_Model!V284&lt;&gt;"Yes","Not a slow-mover bundle candidate","Bundle to move slow stock with controlled discount"))</f>
        <v/>
      </c>
    </row>
    <row r="285">
      <c r="A285">
        <f>IF(Scoring_Model!V285&lt;&gt;"Yes","","RB-"&amp;TEXT(COUNTIF(Scoring_Model!$V$2:$V285,"Yes"),"000000"))</f>
        <v/>
      </c>
      <c r="B285">
        <f>Scoring_Model!A285</f>
        <v/>
      </c>
      <c r="C285">
        <f>Scoring_Model!B285</f>
        <v/>
      </c>
      <c r="D285">
        <f>Scoring_Model!C285</f>
        <v/>
      </c>
      <c r="E285">
        <f>Scoring_Model!S285</f>
        <v/>
      </c>
      <c r="F285">
        <f>Scoring_Model!T285</f>
        <v/>
      </c>
      <c r="G285" s="2">
        <f>Scoring_Model!R285</f>
        <v/>
      </c>
      <c r="H285">
        <f>Scoring_Model!P285</f>
        <v/>
      </c>
      <c r="I285">
        <f>IF(Scoring_Model!V285&lt;&gt;"Yes","",IFERROR(XLOOKUP(D285&amp;"|anchor",Scoring_Model!$X$2:$X$300,Scoring_Model!$Y$2:$Y$300,INDEX(Scoring_Model!$Y$2:$Y$300,MATCH("Yes",Scoring_Model!$U$2:$U$300,0))),"No anchor found"))</f>
        <v/>
      </c>
      <c r="J285" s="2">
        <f>Scoring_Model!W285</f>
        <v/>
      </c>
      <c r="K285">
        <f>IF(Scoring_Model!V285&lt;&gt;"Yes","",IF(F285="High Value Bundle","1 anchor + 1 slow mover",IF(F285="Medium Value Bundle","1 anchor + 2 slow movers","1 anchor + 2 slow movers (aggressive clearout)")))</f>
        <v/>
      </c>
      <c r="L285">
        <f>IF(B285="","",IF(Scoring_Model!V285&lt;&gt;"Yes","Not a slow-mover bundle candidate","Bundle to move slow stock with controlled discount"))</f>
        <v/>
      </c>
    </row>
    <row r="286">
      <c r="A286">
        <f>IF(Scoring_Model!V286&lt;&gt;"Yes","","RB-"&amp;TEXT(COUNTIF(Scoring_Model!$V$2:$V286,"Yes"),"000000"))</f>
        <v/>
      </c>
      <c r="B286">
        <f>Scoring_Model!A286</f>
        <v/>
      </c>
      <c r="C286">
        <f>Scoring_Model!B286</f>
        <v/>
      </c>
      <c r="D286">
        <f>Scoring_Model!C286</f>
        <v/>
      </c>
      <c r="E286">
        <f>Scoring_Model!S286</f>
        <v/>
      </c>
      <c r="F286">
        <f>Scoring_Model!T286</f>
        <v/>
      </c>
      <c r="G286" s="2">
        <f>Scoring_Model!R286</f>
        <v/>
      </c>
      <c r="H286">
        <f>Scoring_Model!P286</f>
        <v/>
      </c>
      <c r="I286">
        <f>IF(Scoring_Model!V286&lt;&gt;"Yes","",IFERROR(XLOOKUP(D286&amp;"|anchor",Scoring_Model!$X$2:$X$300,Scoring_Model!$Y$2:$Y$300,INDEX(Scoring_Model!$Y$2:$Y$300,MATCH("Yes",Scoring_Model!$U$2:$U$300,0))),"No anchor found"))</f>
        <v/>
      </c>
      <c r="J286" s="2">
        <f>Scoring_Model!W286</f>
        <v/>
      </c>
      <c r="K286">
        <f>IF(Scoring_Model!V286&lt;&gt;"Yes","",IF(F286="High Value Bundle","1 anchor + 1 slow mover",IF(F286="Medium Value Bundle","1 anchor + 2 slow movers","1 anchor + 2 slow movers (aggressive clearout)")))</f>
        <v/>
      </c>
      <c r="L286">
        <f>IF(B286="","",IF(Scoring_Model!V286&lt;&gt;"Yes","Not a slow-mover bundle candidate","Bundle to move slow stock with controlled discount"))</f>
        <v/>
      </c>
    </row>
    <row r="287">
      <c r="A287">
        <f>IF(Scoring_Model!V287&lt;&gt;"Yes","","RB-"&amp;TEXT(COUNTIF(Scoring_Model!$V$2:$V287,"Yes"),"000000"))</f>
        <v/>
      </c>
      <c r="B287">
        <f>Scoring_Model!A287</f>
        <v/>
      </c>
      <c r="C287">
        <f>Scoring_Model!B287</f>
        <v/>
      </c>
      <c r="D287">
        <f>Scoring_Model!C287</f>
        <v/>
      </c>
      <c r="E287">
        <f>Scoring_Model!S287</f>
        <v/>
      </c>
      <c r="F287">
        <f>Scoring_Model!T287</f>
        <v/>
      </c>
      <c r="G287" s="2">
        <f>Scoring_Model!R287</f>
        <v/>
      </c>
      <c r="H287">
        <f>Scoring_Model!P287</f>
        <v/>
      </c>
      <c r="I287">
        <f>IF(Scoring_Model!V287&lt;&gt;"Yes","",IFERROR(XLOOKUP(D287&amp;"|anchor",Scoring_Model!$X$2:$X$300,Scoring_Model!$Y$2:$Y$300,INDEX(Scoring_Model!$Y$2:$Y$300,MATCH("Yes",Scoring_Model!$U$2:$U$300,0))),"No anchor found"))</f>
        <v/>
      </c>
      <c r="J287" s="2">
        <f>Scoring_Model!W287</f>
        <v/>
      </c>
      <c r="K287">
        <f>IF(Scoring_Model!V287&lt;&gt;"Yes","",IF(F287="High Value Bundle","1 anchor + 1 slow mover",IF(F287="Medium Value Bundle","1 anchor + 2 slow movers","1 anchor + 2 slow movers (aggressive clearout)")))</f>
        <v/>
      </c>
      <c r="L287">
        <f>IF(B287="","",IF(Scoring_Model!V287&lt;&gt;"Yes","Not a slow-mover bundle candidate","Bundle to move slow stock with controlled discount"))</f>
        <v/>
      </c>
    </row>
    <row r="288">
      <c r="A288">
        <f>IF(Scoring_Model!V288&lt;&gt;"Yes","","RB-"&amp;TEXT(COUNTIF(Scoring_Model!$V$2:$V288,"Yes"),"000000"))</f>
        <v/>
      </c>
      <c r="B288">
        <f>Scoring_Model!A288</f>
        <v/>
      </c>
      <c r="C288">
        <f>Scoring_Model!B288</f>
        <v/>
      </c>
      <c r="D288">
        <f>Scoring_Model!C288</f>
        <v/>
      </c>
      <c r="E288">
        <f>Scoring_Model!S288</f>
        <v/>
      </c>
      <c r="F288">
        <f>Scoring_Model!T288</f>
        <v/>
      </c>
      <c r="G288" s="2">
        <f>Scoring_Model!R288</f>
        <v/>
      </c>
      <c r="H288">
        <f>Scoring_Model!P288</f>
        <v/>
      </c>
      <c r="I288">
        <f>IF(Scoring_Model!V288&lt;&gt;"Yes","",IFERROR(XLOOKUP(D288&amp;"|anchor",Scoring_Model!$X$2:$X$300,Scoring_Model!$Y$2:$Y$300,INDEX(Scoring_Model!$Y$2:$Y$300,MATCH("Yes",Scoring_Model!$U$2:$U$300,0))),"No anchor found"))</f>
        <v/>
      </c>
      <c r="J288" s="2">
        <f>Scoring_Model!W288</f>
        <v/>
      </c>
      <c r="K288">
        <f>IF(Scoring_Model!V288&lt;&gt;"Yes","",IF(F288="High Value Bundle","1 anchor + 1 slow mover",IF(F288="Medium Value Bundle","1 anchor + 2 slow movers","1 anchor + 2 slow movers (aggressive clearout)")))</f>
        <v/>
      </c>
      <c r="L288">
        <f>IF(B288="","",IF(Scoring_Model!V288&lt;&gt;"Yes","Not a slow-mover bundle candidate","Bundle to move slow stock with controlled discount"))</f>
        <v/>
      </c>
    </row>
    <row r="289">
      <c r="A289">
        <f>IF(Scoring_Model!V289&lt;&gt;"Yes","","RB-"&amp;TEXT(COUNTIF(Scoring_Model!$V$2:$V289,"Yes"),"000000"))</f>
        <v/>
      </c>
      <c r="B289">
        <f>Scoring_Model!A289</f>
        <v/>
      </c>
      <c r="C289">
        <f>Scoring_Model!B289</f>
        <v/>
      </c>
      <c r="D289">
        <f>Scoring_Model!C289</f>
        <v/>
      </c>
      <c r="E289">
        <f>Scoring_Model!S289</f>
        <v/>
      </c>
      <c r="F289">
        <f>Scoring_Model!T289</f>
        <v/>
      </c>
      <c r="G289" s="2">
        <f>Scoring_Model!R289</f>
        <v/>
      </c>
      <c r="H289">
        <f>Scoring_Model!P289</f>
        <v/>
      </c>
      <c r="I289">
        <f>IF(Scoring_Model!V289&lt;&gt;"Yes","",IFERROR(XLOOKUP(D289&amp;"|anchor",Scoring_Model!$X$2:$X$300,Scoring_Model!$Y$2:$Y$300,INDEX(Scoring_Model!$Y$2:$Y$300,MATCH("Yes",Scoring_Model!$U$2:$U$300,0))),"No anchor found"))</f>
        <v/>
      </c>
      <c r="J289" s="2">
        <f>Scoring_Model!W289</f>
        <v/>
      </c>
      <c r="K289">
        <f>IF(Scoring_Model!V289&lt;&gt;"Yes","",IF(F289="High Value Bundle","1 anchor + 1 slow mover",IF(F289="Medium Value Bundle","1 anchor + 2 slow movers","1 anchor + 2 slow movers (aggressive clearout)")))</f>
        <v/>
      </c>
      <c r="L289">
        <f>IF(B289="","",IF(Scoring_Model!V289&lt;&gt;"Yes","Not a slow-mover bundle candidate","Bundle to move slow stock with controlled discount"))</f>
        <v/>
      </c>
    </row>
    <row r="290">
      <c r="A290">
        <f>IF(Scoring_Model!V290&lt;&gt;"Yes","","RB-"&amp;TEXT(COUNTIF(Scoring_Model!$V$2:$V290,"Yes"),"000000"))</f>
        <v/>
      </c>
      <c r="B290">
        <f>Scoring_Model!A290</f>
        <v/>
      </c>
      <c r="C290">
        <f>Scoring_Model!B290</f>
        <v/>
      </c>
      <c r="D290">
        <f>Scoring_Model!C290</f>
        <v/>
      </c>
      <c r="E290">
        <f>Scoring_Model!S290</f>
        <v/>
      </c>
      <c r="F290">
        <f>Scoring_Model!T290</f>
        <v/>
      </c>
      <c r="G290" s="2">
        <f>Scoring_Model!R290</f>
        <v/>
      </c>
      <c r="H290">
        <f>Scoring_Model!P290</f>
        <v/>
      </c>
      <c r="I290">
        <f>IF(Scoring_Model!V290&lt;&gt;"Yes","",IFERROR(XLOOKUP(D290&amp;"|anchor",Scoring_Model!$X$2:$X$300,Scoring_Model!$Y$2:$Y$300,INDEX(Scoring_Model!$Y$2:$Y$300,MATCH("Yes",Scoring_Model!$U$2:$U$300,0))),"No anchor found"))</f>
        <v/>
      </c>
      <c r="J290" s="2">
        <f>Scoring_Model!W290</f>
        <v/>
      </c>
      <c r="K290">
        <f>IF(Scoring_Model!V290&lt;&gt;"Yes","",IF(F290="High Value Bundle","1 anchor + 1 slow mover",IF(F290="Medium Value Bundle","1 anchor + 2 slow movers","1 anchor + 2 slow movers (aggressive clearout)")))</f>
        <v/>
      </c>
      <c r="L290">
        <f>IF(B290="","",IF(Scoring_Model!V290&lt;&gt;"Yes","Not a slow-mover bundle candidate","Bundle to move slow stock with controlled discount"))</f>
        <v/>
      </c>
    </row>
    <row r="291">
      <c r="A291">
        <f>IF(Scoring_Model!V291&lt;&gt;"Yes","","RB-"&amp;TEXT(COUNTIF(Scoring_Model!$V$2:$V291,"Yes"),"000000"))</f>
        <v/>
      </c>
      <c r="B291">
        <f>Scoring_Model!A291</f>
        <v/>
      </c>
      <c r="C291">
        <f>Scoring_Model!B291</f>
        <v/>
      </c>
      <c r="D291">
        <f>Scoring_Model!C291</f>
        <v/>
      </c>
      <c r="E291">
        <f>Scoring_Model!S291</f>
        <v/>
      </c>
      <c r="F291">
        <f>Scoring_Model!T291</f>
        <v/>
      </c>
      <c r="G291" s="2">
        <f>Scoring_Model!R291</f>
        <v/>
      </c>
      <c r="H291">
        <f>Scoring_Model!P291</f>
        <v/>
      </c>
      <c r="I291">
        <f>IF(Scoring_Model!V291&lt;&gt;"Yes","",IFERROR(XLOOKUP(D291&amp;"|anchor",Scoring_Model!$X$2:$X$300,Scoring_Model!$Y$2:$Y$300,INDEX(Scoring_Model!$Y$2:$Y$300,MATCH("Yes",Scoring_Model!$U$2:$U$300,0))),"No anchor found"))</f>
        <v/>
      </c>
      <c r="J291" s="2">
        <f>Scoring_Model!W291</f>
        <v/>
      </c>
      <c r="K291">
        <f>IF(Scoring_Model!V291&lt;&gt;"Yes","",IF(F291="High Value Bundle","1 anchor + 1 slow mover",IF(F291="Medium Value Bundle","1 anchor + 2 slow movers","1 anchor + 2 slow movers (aggressive clearout)")))</f>
        <v/>
      </c>
      <c r="L291">
        <f>IF(B291="","",IF(Scoring_Model!V291&lt;&gt;"Yes","Not a slow-mover bundle candidate","Bundle to move slow stock with controlled discount"))</f>
        <v/>
      </c>
    </row>
    <row r="292">
      <c r="A292">
        <f>IF(Scoring_Model!V292&lt;&gt;"Yes","","RB-"&amp;TEXT(COUNTIF(Scoring_Model!$V$2:$V292,"Yes"),"000000"))</f>
        <v/>
      </c>
      <c r="B292">
        <f>Scoring_Model!A292</f>
        <v/>
      </c>
      <c r="C292">
        <f>Scoring_Model!B292</f>
        <v/>
      </c>
      <c r="D292">
        <f>Scoring_Model!C292</f>
        <v/>
      </c>
      <c r="E292">
        <f>Scoring_Model!S292</f>
        <v/>
      </c>
      <c r="F292">
        <f>Scoring_Model!T292</f>
        <v/>
      </c>
      <c r="G292" s="2">
        <f>Scoring_Model!R292</f>
        <v/>
      </c>
      <c r="H292">
        <f>Scoring_Model!P292</f>
        <v/>
      </c>
      <c r="I292">
        <f>IF(Scoring_Model!V292&lt;&gt;"Yes","",IFERROR(XLOOKUP(D292&amp;"|anchor",Scoring_Model!$X$2:$X$300,Scoring_Model!$Y$2:$Y$300,INDEX(Scoring_Model!$Y$2:$Y$300,MATCH("Yes",Scoring_Model!$U$2:$U$300,0))),"No anchor found"))</f>
        <v/>
      </c>
      <c r="J292" s="2">
        <f>Scoring_Model!W292</f>
        <v/>
      </c>
      <c r="K292">
        <f>IF(Scoring_Model!V292&lt;&gt;"Yes","",IF(F292="High Value Bundle","1 anchor + 1 slow mover",IF(F292="Medium Value Bundle","1 anchor + 2 slow movers","1 anchor + 2 slow movers (aggressive clearout)")))</f>
        <v/>
      </c>
      <c r="L292">
        <f>IF(B292="","",IF(Scoring_Model!V292&lt;&gt;"Yes","Not a slow-mover bundle candidate","Bundle to move slow stock with controlled discount"))</f>
        <v/>
      </c>
    </row>
    <row r="293">
      <c r="A293">
        <f>IF(Scoring_Model!V293&lt;&gt;"Yes","","RB-"&amp;TEXT(COUNTIF(Scoring_Model!$V$2:$V293,"Yes"),"000000"))</f>
        <v/>
      </c>
      <c r="B293">
        <f>Scoring_Model!A293</f>
        <v/>
      </c>
      <c r="C293">
        <f>Scoring_Model!B293</f>
        <v/>
      </c>
      <c r="D293">
        <f>Scoring_Model!C293</f>
        <v/>
      </c>
      <c r="E293">
        <f>Scoring_Model!S293</f>
        <v/>
      </c>
      <c r="F293">
        <f>Scoring_Model!T293</f>
        <v/>
      </c>
      <c r="G293" s="2">
        <f>Scoring_Model!R293</f>
        <v/>
      </c>
      <c r="H293">
        <f>Scoring_Model!P293</f>
        <v/>
      </c>
      <c r="I293">
        <f>IF(Scoring_Model!V293&lt;&gt;"Yes","",IFERROR(XLOOKUP(D293&amp;"|anchor",Scoring_Model!$X$2:$X$300,Scoring_Model!$Y$2:$Y$300,INDEX(Scoring_Model!$Y$2:$Y$300,MATCH("Yes",Scoring_Model!$U$2:$U$300,0))),"No anchor found"))</f>
        <v/>
      </c>
      <c r="J293" s="2">
        <f>Scoring_Model!W293</f>
        <v/>
      </c>
      <c r="K293">
        <f>IF(Scoring_Model!V293&lt;&gt;"Yes","",IF(F293="High Value Bundle","1 anchor + 1 slow mover",IF(F293="Medium Value Bundle","1 anchor + 2 slow movers","1 anchor + 2 slow movers (aggressive clearout)")))</f>
        <v/>
      </c>
      <c r="L293">
        <f>IF(B293="","",IF(Scoring_Model!V293&lt;&gt;"Yes","Not a slow-mover bundle candidate","Bundle to move slow stock with controlled discount"))</f>
        <v/>
      </c>
    </row>
    <row r="294">
      <c r="A294">
        <f>IF(Scoring_Model!V294&lt;&gt;"Yes","","RB-"&amp;TEXT(COUNTIF(Scoring_Model!$V$2:$V294,"Yes"),"000000"))</f>
        <v/>
      </c>
      <c r="B294">
        <f>Scoring_Model!A294</f>
        <v/>
      </c>
      <c r="C294">
        <f>Scoring_Model!B294</f>
        <v/>
      </c>
      <c r="D294">
        <f>Scoring_Model!C294</f>
        <v/>
      </c>
      <c r="E294">
        <f>Scoring_Model!S294</f>
        <v/>
      </c>
      <c r="F294">
        <f>Scoring_Model!T294</f>
        <v/>
      </c>
      <c r="G294" s="2">
        <f>Scoring_Model!R294</f>
        <v/>
      </c>
      <c r="H294">
        <f>Scoring_Model!P294</f>
        <v/>
      </c>
      <c r="I294">
        <f>IF(Scoring_Model!V294&lt;&gt;"Yes","",IFERROR(XLOOKUP(D294&amp;"|anchor",Scoring_Model!$X$2:$X$300,Scoring_Model!$Y$2:$Y$300,INDEX(Scoring_Model!$Y$2:$Y$300,MATCH("Yes",Scoring_Model!$U$2:$U$300,0))),"No anchor found"))</f>
        <v/>
      </c>
      <c r="J294" s="2">
        <f>Scoring_Model!W294</f>
        <v/>
      </c>
      <c r="K294">
        <f>IF(Scoring_Model!V294&lt;&gt;"Yes","",IF(F294="High Value Bundle","1 anchor + 1 slow mover",IF(F294="Medium Value Bundle","1 anchor + 2 slow movers","1 anchor + 2 slow movers (aggressive clearout)")))</f>
        <v/>
      </c>
      <c r="L294">
        <f>IF(B294="","",IF(Scoring_Model!V294&lt;&gt;"Yes","Not a slow-mover bundle candidate","Bundle to move slow stock with controlled discount"))</f>
        <v/>
      </c>
    </row>
    <row r="295">
      <c r="A295">
        <f>IF(Scoring_Model!V295&lt;&gt;"Yes","","RB-"&amp;TEXT(COUNTIF(Scoring_Model!$V$2:$V295,"Yes"),"000000"))</f>
        <v/>
      </c>
      <c r="B295">
        <f>Scoring_Model!A295</f>
        <v/>
      </c>
      <c r="C295">
        <f>Scoring_Model!B295</f>
        <v/>
      </c>
      <c r="D295">
        <f>Scoring_Model!C295</f>
        <v/>
      </c>
      <c r="E295">
        <f>Scoring_Model!S295</f>
        <v/>
      </c>
      <c r="F295">
        <f>Scoring_Model!T295</f>
        <v/>
      </c>
      <c r="G295" s="2">
        <f>Scoring_Model!R295</f>
        <v/>
      </c>
      <c r="H295">
        <f>Scoring_Model!P295</f>
        <v/>
      </c>
      <c r="I295">
        <f>IF(Scoring_Model!V295&lt;&gt;"Yes","",IFERROR(XLOOKUP(D295&amp;"|anchor",Scoring_Model!$X$2:$X$300,Scoring_Model!$Y$2:$Y$300,INDEX(Scoring_Model!$Y$2:$Y$300,MATCH("Yes",Scoring_Model!$U$2:$U$300,0))),"No anchor found"))</f>
        <v/>
      </c>
      <c r="J295" s="2">
        <f>Scoring_Model!W295</f>
        <v/>
      </c>
      <c r="K295">
        <f>IF(Scoring_Model!V295&lt;&gt;"Yes","",IF(F295="High Value Bundle","1 anchor + 1 slow mover",IF(F295="Medium Value Bundle","1 anchor + 2 slow movers","1 anchor + 2 slow movers (aggressive clearout)")))</f>
        <v/>
      </c>
      <c r="L295">
        <f>IF(B295="","",IF(Scoring_Model!V295&lt;&gt;"Yes","Not a slow-mover bundle candidate","Bundle to move slow stock with controlled discount"))</f>
        <v/>
      </c>
    </row>
    <row r="296">
      <c r="A296">
        <f>IF(Scoring_Model!V296&lt;&gt;"Yes","","RB-"&amp;TEXT(COUNTIF(Scoring_Model!$V$2:$V296,"Yes"),"000000"))</f>
        <v/>
      </c>
      <c r="B296">
        <f>Scoring_Model!A296</f>
        <v/>
      </c>
      <c r="C296">
        <f>Scoring_Model!B296</f>
        <v/>
      </c>
      <c r="D296">
        <f>Scoring_Model!C296</f>
        <v/>
      </c>
      <c r="E296">
        <f>Scoring_Model!S296</f>
        <v/>
      </c>
      <c r="F296">
        <f>Scoring_Model!T296</f>
        <v/>
      </c>
      <c r="G296" s="2">
        <f>Scoring_Model!R296</f>
        <v/>
      </c>
      <c r="H296">
        <f>Scoring_Model!P296</f>
        <v/>
      </c>
      <c r="I296">
        <f>IF(Scoring_Model!V296&lt;&gt;"Yes","",IFERROR(XLOOKUP(D296&amp;"|anchor",Scoring_Model!$X$2:$X$300,Scoring_Model!$Y$2:$Y$300,INDEX(Scoring_Model!$Y$2:$Y$300,MATCH("Yes",Scoring_Model!$U$2:$U$300,0))),"No anchor found"))</f>
        <v/>
      </c>
      <c r="J296" s="2">
        <f>Scoring_Model!W296</f>
        <v/>
      </c>
      <c r="K296">
        <f>IF(Scoring_Model!V296&lt;&gt;"Yes","",IF(F296="High Value Bundle","1 anchor + 1 slow mover",IF(F296="Medium Value Bundle","1 anchor + 2 slow movers","1 anchor + 2 slow movers (aggressive clearout)")))</f>
        <v/>
      </c>
      <c r="L296">
        <f>IF(B296="","",IF(Scoring_Model!V296&lt;&gt;"Yes","Not a slow-mover bundle candidate","Bundle to move slow stock with controlled discount"))</f>
        <v/>
      </c>
    </row>
    <row r="297">
      <c r="A297">
        <f>IF(Scoring_Model!V297&lt;&gt;"Yes","","RB-"&amp;TEXT(COUNTIF(Scoring_Model!$V$2:$V297,"Yes"),"000000"))</f>
        <v/>
      </c>
      <c r="B297">
        <f>Scoring_Model!A297</f>
        <v/>
      </c>
      <c r="C297">
        <f>Scoring_Model!B297</f>
        <v/>
      </c>
      <c r="D297">
        <f>Scoring_Model!C297</f>
        <v/>
      </c>
      <c r="E297">
        <f>Scoring_Model!S297</f>
        <v/>
      </c>
      <c r="F297">
        <f>Scoring_Model!T297</f>
        <v/>
      </c>
      <c r="G297" s="2">
        <f>Scoring_Model!R297</f>
        <v/>
      </c>
      <c r="H297">
        <f>Scoring_Model!P297</f>
        <v/>
      </c>
      <c r="I297">
        <f>IF(Scoring_Model!V297&lt;&gt;"Yes","",IFERROR(XLOOKUP(D297&amp;"|anchor",Scoring_Model!$X$2:$X$300,Scoring_Model!$Y$2:$Y$300,INDEX(Scoring_Model!$Y$2:$Y$300,MATCH("Yes",Scoring_Model!$U$2:$U$300,0))),"No anchor found"))</f>
        <v/>
      </c>
      <c r="J297" s="2">
        <f>Scoring_Model!W297</f>
        <v/>
      </c>
      <c r="K297">
        <f>IF(Scoring_Model!V297&lt;&gt;"Yes","",IF(F297="High Value Bundle","1 anchor + 1 slow mover",IF(F297="Medium Value Bundle","1 anchor + 2 slow movers","1 anchor + 2 slow movers (aggressive clearout)")))</f>
        <v/>
      </c>
      <c r="L297">
        <f>IF(B297="","",IF(Scoring_Model!V297&lt;&gt;"Yes","Not a slow-mover bundle candidate","Bundle to move slow stock with controlled discount"))</f>
        <v/>
      </c>
    </row>
    <row r="298">
      <c r="A298">
        <f>IF(Scoring_Model!V298&lt;&gt;"Yes","","RB-"&amp;TEXT(COUNTIF(Scoring_Model!$V$2:$V298,"Yes"),"000000"))</f>
        <v/>
      </c>
      <c r="B298">
        <f>Scoring_Model!A298</f>
        <v/>
      </c>
      <c r="C298">
        <f>Scoring_Model!B298</f>
        <v/>
      </c>
      <c r="D298">
        <f>Scoring_Model!C298</f>
        <v/>
      </c>
      <c r="E298">
        <f>Scoring_Model!S298</f>
        <v/>
      </c>
      <c r="F298">
        <f>Scoring_Model!T298</f>
        <v/>
      </c>
      <c r="G298" s="2">
        <f>Scoring_Model!R298</f>
        <v/>
      </c>
      <c r="H298">
        <f>Scoring_Model!P298</f>
        <v/>
      </c>
      <c r="I298">
        <f>IF(Scoring_Model!V298&lt;&gt;"Yes","",IFERROR(XLOOKUP(D298&amp;"|anchor",Scoring_Model!$X$2:$X$300,Scoring_Model!$Y$2:$Y$300,INDEX(Scoring_Model!$Y$2:$Y$300,MATCH("Yes",Scoring_Model!$U$2:$U$300,0))),"No anchor found"))</f>
        <v/>
      </c>
      <c r="J298" s="2">
        <f>Scoring_Model!W298</f>
        <v/>
      </c>
      <c r="K298">
        <f>IF(Scoring_Model!V298&lt;&gt;"Yes","",IF(F298="High Value Bundle","1 anchor + 1 slow mover",IF(F298="Medium Value Bundle","1 anchor + 2 slow movers","1 anchor + 2 slow movers (aggressive clearout)")))</f>
        <v/>
      </c>
      <c r="L298">
        <f>IF(B298="","",IF(Scoring_Model!V298&lt;&gt;"Yes","Not a slow-mover bundle candidate","Bundle to move slow stock with controlled discount"))</f>
        <v/>
      </c>
    </row>
    <row r="299">
      <c r="A299">
        <f>IF(Scoring_Model!V299&lt;&gt;"Yes","","RB-"&amp;TEXT(COUNTIF(Scoring_Model!$V$2:$V299,"Yes"),"000000"))</f>
        <v/>
      </c>
      <c r="B299">
        <f>Scoring_Model!A299</f>
        <v/>
      </c>
      <c r="C299">
        <f>Scoring_Model!B299</f>
        <v/>
      </c>
      <c r="D299">
        <f>Scoring_Model!C299</f>
        <v/>
      </c>
      <c r="E299">
        <f>Scoring_Model!S299</f>
        <v/>
      </c>
      <c r="F299">
        <f>Scoring_Model!T299</f>
        <v/>
      </c>
      <c r="G299" s="2">
        <f>Scoring_Model!R299</f>
        <v/>
      </c>
      <c r="H299">
        <f>Scoring_Model!P299</f>
        <v/>
      </c>
      <c r="I299">
        <f>IF(Scoring_Model!V299&lt;&gt;"Yes","",IFERROR(XLOOKUP(D299&amp;"|anchor",Scoring_Model!$X$2:$X$300,Scoring_Model!$Y$2:$Y$300,INDEX(Scoring_Model!$Y$2:$Y$300,MATCH("Yes",Scoring_Model!$U$2:$U$300,0))),"No anchor found"))</f>
        <v/>
      </c>
      <c r="J299" s="2">
        <f>Scoring_Model!W299</f>
        <v/>
      </c>
      <c r="K299">
        <f>IF(Scoring_Model!V299&lt;&gt;"Yes","",IF(F299="High Value Bundle","1 anchor + 1 slow mover",IF(F299="Medium Value Bundle","1 anchor + 2 slow movers","1 anchor + 2 slow movers (aggressive clearout)")))</f>
        <v/>
      </c>
      <c r="L299">
        <f>IF(B299="","",IF(Scoring_Model!V299&lt;&gt;"Yes","Not a slow-mover bundle candidate","Bundle to move slow stock with controlled discount"))</f>
        <v/>
      </c>
    </row>
    <row r="300">
      <c r="A300">
        <f>IF(Scoring_Model!V300&lt;&gt;"Yes","","RB-"&amp;TEXT(COUNTIF(Scoring_Model!$V$2:$V300,"Yes"),"000000"))</f>
        <v/>
      </c>
      <c r="B300">
        <f>Scoring_Model!A300</f>
        <v/>
      </c>
      <c r="C300">
        <f>Scoring_Model!B300</f>
        <v/>
      </c>
      <c r="D300">
        <f>Scoring_Model!C300</f>
        <v/>
      </c>
      <c r="E300">
        <f>Scoring_Model!S300</f>
        <v/>
      </c>
      <c r="F300">
        <f>Scoring_Model!T300</f>
        <v/>
      </c>
      <c r="G300" s="2">
        <f>Scoring_Model!R300</f>
        <v/>
      </c>
      <c r="H300">
        <f>Scoring_Model!P300</f>
        <v/>
      </c>
      <c r="I300">
        <f>IF(Scoring_Model!V300&lt;&gt;"Yes","",IFERROR(XLOOKUP(D300&amp;"|anchor",Scoring_Model!$X$2:$X$300,Scoring_Model!$Y$2:$Y$300,INDEX(Scoring_Model!$Y$2:$Y$300,MATCH("Yes",Scoring_Model!$U$2:$U$300,0))),"No anchor found"))</f>
        <v/>
      </c>
      <c r="J300" s="2">
        <f>Scoring_Model!W300</f>
        <v/>
      </c>
      <c r="K300">
        <f>IF(Scoring_Model!V300&lt;&gt;"Yes","",IF(F300="High Value Bundle","1 anchor + 1 slow mover",IF(F300="Medium Value Bundle","1 anchor + 2 slow movers","1 anchor + 2 slow movers (aggressive clearout)")))</f>
        <v/>
      </c>
      <c r="L300">
        <f>IF(B300="","",IF(Scoring_Model!V300&lt;&gt;"Yes","Not a slow-mover bundle candidate","Bundle to move slow stock with controlled discount"))</f>
        <v/>
      </c>
    </row>
  </sheetData>
  <autoFilter ref="A1:L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0" customWidth="1" min="4" max="4"/>
    <col width="16" customWidth="1" min="5" max="5"/>
    <col width="30" customWidth="1" min="6" max="6"/>
    <col width="16" customWidth="1" min="7" max="7"/>
    <col width="30" customWidth="1" min="8" max="8"/>
    <col width="20" customWidth="1" min="9" max="9"/>
    <col width="20" customWidth="1" min="10" max="10"/>
    <col width="18" customWidth="1" min="11" max="11"/>
    <col width="56" customWidth="1" min="12" max="12"/>
  </cols>
  <sheetData>
    <row r="1">
      <c r="A1" s="1" t="inlineStr">
        <is>
          <t>bundle_id</t>
        </is>
      </c>
      <c r="B1" s="1" t="inlineStr">
        <is>
          <t>bundle_size</t>
        </is>
      </c>
      <c r="C1" s="1" t="inlineStr">
        <is>
          <t>anchor_product_id</t>
        </is>
      </c>
      <c r="D1" s="1" t="inlineStr">
        <is>
          <t>anchor_product_name</t>
        </is>
      </c>
      <c r="E1" s="1" t="inlineStr">
        <is>
          <t>item_2_product_id</t>
        </is>
      </c>
      <c r="F1" s="1" t="inlineStr">
        <is>
          <t>item_2_product_name</t>
        </is>
      </c>
      <c r="G1" s="1" t="inlineStr">
        <is>
          <t>item_3_product_id</t>
        </is>
      </c>
      <c r="H1" s="1" t="inlineStr">
        <is>
          <t>item_3_product_name</t>
        </is>
      </c>
      <c r="I1" s="1" t="inlineStr">
        <is>
          <t>category_mix</t>
        </is>
      </c>
      <c r="J1" s="1" t="inlineStr">
        <is>
          <t>bundle_priority_score</t>
        </is>
      </c>
      <c r="K1" s="1" t="inlineStr">
        <is>
          <t>suggested_discount_%</t>
        </is>
      </c>
      <c r="L1" s="1" t="inlineStr">
        <is>
          <t>reason</t>
        </is>
      </c>
    </row>
    <row r="2">
      <c r="A2" t="inlineStr">
        <is>
          <t>B-000001</t>
        </is>
      </c>
      <c r="B2" t="n">
        <v>2</v>
      </c>
      <c r="C2" t="inlineStr">
        <is>
          <t>P-2002</t>
        </is>
      </c>
      <c r="D2" t="inlineStr">
        <is>
          <t>Sea Salt Crackers</t>
        </is>
      </c>
      <c r="E2" t="inlineStr">
        <is>
          <t>P-3001</t>
        </is>
      </c>
      <c r="F2" t="inlineStr">
        <is>
          <t>Aloe Vera Gel 250ml</t>
        </is>
      </c>
      <c r="G2" t="inlineStr"/>
      <c r="H2" t="inlineStr"/>
      <c r="I2" t="inlineStr">
        <is>
          <t>Cross Category</t>
        </is>
      </c>
      <c r="J2" s="2" t="n">
        <v>0.8500000000000001</v>
      </c>
      <c r="K2" s="2" t="n">
        <v>0.07000000000000001</v>
      </c>
      <c r="L2" t="inlineStr">
        <is>
          <t>Moves one medium/slow mover using one strong anchor</t>
        </is>
      </c>
    </row>
    <row r="3">
      <c r="A3" t="inlineStr">
        <is>
          <t>B-000002</t>
        </is>
      </c>
      <c r="B3" t="n">
        <v>3</v>
      </c>
      <c r="C3" t="inlineStr">
        <is>
          <t>P-2002</t>
        </is>
      </c>
      <c r="D3" t="inlineStr">
        <is>
          <t>Sea Salt Crackers</t>
        </is>
      </c>
      <c r="E3" t="inlineStr">
        <is>
          <t>P-3001</t>
        </is>
      </c>
      <c r="F3" t="inlineStr">
        <is>
          <t>Aloe Vera Gel 250ml</t>
        </is>
      </c>
      <c r="G3" t="inlineStr">
        <is>
          <t>P-2001</t>
        </is>
      </c>
      <c r="H3" t="inlineStr">
        <is>
          <t>Dry Fruit Mix 200g</t>
        </is>
      </c>
      <c r="I3" t="inlineStr">
        <is>
          <t>Mixed Category</t>
        </is>
      </c>
      <c r="J3" s="2" t="n">
        <v>0.7875000000000001</v>
      </c>
      <c r="K3" s="2" t="n">
        <v>0.09000000000000001</v>
      </c>
      <c r="L3" t="inlineStr">
        <is>
          <t>Moves two medium/slow movers with one strong anchor</t>
        </is>
      </c>
    </row>
    <row r="4">
      <c r="A4" t="inlineStr">
        <is>
          <t>B-000003</t>
        </is>
      </c>
      <c r="B4" t="n">
        <v>2</v>
      </c>
      <c r="C4" t="inlineStr">
        <is>
          <t>P-2002</t>
        </is>
      </c>
      <c r="D4" t="inlineStr">
        <is>
          <t>Sea Salt Crackers</t>
        </is>
      </c>
      <c r="E4" t="inlineStr">
        <is>
          <t>P-2001</t>
        </is>
      </c>
      <c r="F4" t="inlineStr">
        <is>
          <t>Dry Fruit Mix 200g</t>
        </is>
      </c>
      <c r="G4" t="inlineStr"/>
      <c r="H4" t="inlineStr"/>
      <c r="I4" t="inlineStr">
        <is>
          <t>Same Category</t>
        </is>
      </c>
      <c r="J4" s="2" t="n">
        <v>0.7375</v>
      </c>
      <c r="K4" s="2" t="n">
        <v>0.09000000000000001</v>
      </c>
      <c r="L4" t="inlineStr">
        <is>
          <t>Moves one medium/slow mover using one strong anchor</t>
        </is>
      </c>
    </row>
    <row r="5">
      <c r="A5" t="inlineStr">
        <is>
          <t>B-000004</t>
        </is>
      </c>
      <c r="B5" t="n">
        <v>3</v>
      </c>
      <c r="C5" t="inlineStr">
        <is>
          <t>P-2002</t>
        </is>
      </c>
      <c r="D5" t="inlineStr">
        <is>
          <t>Sea Salt Crackers</t>
        </is>
      </c>
      <c r="E5" t="inlineStr">
        <is>
          <t>P-3001</t>
        </is>
      </c>
      <c r="F5" t="inlineStr">
        <is>
          <t>Aloe Vera Gel 250ml</t>
        </is>
      </c>
      <c r="G5" t="inlineStr">
        <is>
          <t>P-1002</t>
        </is>
      </c>
      <c r="H5" t="inlineStr">
        <is>
          <t>Premium Coffee Beans 1kg</t>
        </is>
      </c>
      <c r="I5" t="inlineStr">
        <is>
          <t>Mixed Category</t>
        </is>
      </c>
      <c r="J5" s="2" t="n">
        <v>0.7350000000000001</v>
      </c>
      <c r="K5" s="2" t="n">
        <v>0.07000000000000001</v>
      </c>
      <c r="L5" t="inlineStr">
        <is>
          <t>Moves two medium/slow movers with one strong anchor</t>
        </is>
      </c>
    </row>
    <row r="6">
      <c r="A6" t="inlineStr">
        <is>
          <t>B-000005</t>
        </is>
      </c>
      <c r="B6" t="n">
        <v>3</v>
      </c>
      <c r="C6" t="inlineStr">
        <is>
          <t>P-2002</t>
        </is>
      </c>
      <c r="D6" t="inlineStr">
        <is>
          <t>Sea Salt Crackers</t>
        </is>
      </c>
      <c r="E6" t="inlineStr">
        <is>
          <t>P-2001</t>
        </is>
      </c>
      <c r="F6" t="inlineStr">
        <is>
          <t>Dry Fruit Mix 200g</t>
        </is>
      </c>
      <c r="G6" t="inlineStr">
        <is>
          <t>P-1002</t>
        </is>
      </c>
      <c r="H6" t="inlineStr">
        <is>
          <t>Premium Coffee Beans 1kg</t>
        </is>
      </c>
      <c r="I6" t="inlineStr">
        <is>
          <t>Mixed Category</t>
        </is>
      </c>
      <c r="J6" s="2" t="n">
        <v>0.6675</v>
      </c>
      <c r="K6" s="2" t="n">
        <v>0.09000000000000001</v>
      </c>
      <c r="L6" t="inlineStr">
        <is>
          <t>Moves two medium/slow movers with one strong anchor</t>
        </is>
      </c>
    </row>
    <row r="7">
      <c r="A7" t="inlineStr">
        <is>
          <t>B-000006</t>
        </is>
      </c>
      <c r="B7" t="n">
        <v>3</v>
      </c>
      <c r="C7" t="inlineStr">
        <is>
          <t>P-2002</t>
        </is>
      </c>
      <c r="D7" t="inlineStr">
        <is>
          <t>Sea Salt Crackers</t>
        </is>
      </c>
      <c r="E7" t="inlineStr">
        <is>
          <t>P-3001</t>
        </is>
      </c>
      <c r="F7" t="inlineStr">
        <is>
          <t>Aloe Vera Gel 250ml</t>
        </is>
      </c>
      <c r="G7" t="inlineStr">
        <is>
          <t>P-1001</t>
        </is>
      </c>
      <c r="H7" t="inlineStr">
        <is>
          <t>Sparkling Water 330ml</t>
        </is>
      </c>
      <c r="I7" t="inlineStr">
        <is>
          <t>Mixed Category</t>
        </is>
      </c>
      <c r="J7" s="2" t="n">
        <v>0.651875</v>
      </c>
      <c r="K7" s="2" t="n">
        <v>0.1</v>
      </c>
      <c r="L7" t="inlineStr">
        <is>
          <t>Moves two medium/slow movers with one strong anchor</t>
        </is>
      </c>
    </row>
    <row r="8">
      <c r="A8" t="inlineStr">
        <is>
          <t>B-000007</t>
        </is>
      </c>
      <c r="B8" t="n">
        <v>2</v>
      </c>
      <c r="C8" t="inlineStr">
        <is>
          <t>P-2002</t>
        </is>
      </c>
      <c r="D8" t="inlineStr">
        <is>
          <t>Sea Salt Crackers</t>
        </is>
      </c>
      <c r="E8" t="inlineStr">
        <is>
          <t>P-1002</t>
        </is>
      </c>
      <c r="F8" t="inlineStr">
        <is>
          <t>Premium Coffee Beans 1kg</t>
        </is>
      </c>
      <c r="G8" t="inlineStr"/>
      <c r="H8" t="inlineStr"/>
      <c r="I8" t="inlineStr">
        <is>
          <t>Cross Category</t>
        </is>
      </c>
      <c r="J8" s="2" t="n">
        <v>0.625</v>
      </c>
      <c r="K8" s="2" t="n">
        <v>0.07000000000000001</v>
      </c>
      <c r="L8" t="inlineStr">
        <is>
          <t>Moves one medium/slow mover using one strong anchor</t>
        </is>
      </c>
    </row>
    <row r="9">
      <c r="A9" t="inlineStr">
        <is>
          <t>B-000008</t>
        </is>
      </c>
      <c r="B9" t="n">
        <v>3</v>
      </c>
      <c r="C9" t="inlineStr">
        <is>
          <t>P-2002</t>
        </is>
      </c>
      <c r="D9" t="inlineStr">
        <is>
          <t>Sea Salt Crackers</t>
        </is>
      </c>
      <c r="E9" t="inlineStr">
        <is>
          <t>P-2001</t>
        </is>
      </c>
      <c r="F9" t="inlineStr">
        <is>
          <t>Dry Fruit Mix 200g</t>
        </is>
      </c>
      <c r="G9" t="inlineStr">
        <is>
          <t>P-1001</t>
        </is>
      </c>
      <c r="H9" t="inlineStr">
        <is>
          <t>Sparkling Water 330ml</t>
        </is>
      </c>
      <c r="I9" t="inlineStr">
        <is>
          <t>Mixed Category</t>
        </is>
      </c>
      <c r="J9" s="2" t="n">
        <v>0.5843750000000001</v>
      </c>
      <c r="K9" s="2" t="n">
        <v>0.1</v>
      </c>
      <c r="L9" t="inlineStr">
        <is>
          <t>Moves two medium/slow movers with one strong anchor</t>
        </is>
      </c>
    </row>
    <row r="10">
      <c r="A10" t="inlineStr">
        <is>
          <t>B-000009</t>
        </is>
      </c>
      <c r="B10" t="n">
        <v>3</v>
      </c>
      <c r="C10" t="inlineStr">
        <is>
          <t>P-2002</t>
        </is>
      </c>
      <c r="D10" t="inlineStr">
        <is>
          <t>Sea Salt Crackers</t>
        </is>
      </c>
      <c r="E10" t="inlineStr">
        <is>
          <t>P-1002</t>
        </is>
      </c>
      <c r="F10" t="inlineStr">
        <is>
          <t>Premium Coffee Beans 1kg</t>
        </is>
      </c>
      <c r="G10" t="inlineStr">
        <is>
          <t>P-1001</t>
        </is>
      </c>
      <c r="H10" t="inlineStr">
        <is>
          <t>Sparkling Water 330ml</t>
        </is>
      </c>
      <c r="I10" t="inlineStr">
        <is>
          <t>Mixed Category</t>
        </is>
      </c>
      <c r="J10" s="2" t="n">
        <v>0.516875</v>
      </c>
      <c r="K10" s="2" t="n">
        <v>0.1</v>
      </c>
      <c r="L10" t="inlineStr">
        <is>
          <t>Moves two medium/slow movers with one strong anchor</t>
        </is>
      </c>
    </row>
    <row r="11">
      <c r="A11" t="inlineStr">
        <is>
          <t>B-000010</t>
        </is>
      </c>
      <c r="B11" t="n">
        <v>2</v>
      </c>
      <c r="C11" t="inlineStr">
        <is>
          <t>P-2002</t>
        </is>
      </c>
      <c r="D11" t="inlineStr">
        <is>
          <t>Sea Salt Crackers</t>
        </is>
      </c>
      <c r="E11" t="inlineStr">
        <is>
          <t>P-1001</t>
        </is>
      </c>
      <c r="F11" t="inlineStr">
        <is>
          <t>Sparkling Water 330ml</t>
        </is>
      </c>
      <c r="G11" t="inlineStr"/>
      <c r="H11" t="inlineStr"/>
      <c r="I11" t="inlineStr">
        <is>
          <t>Cross Category</t>
        </is>
      </c>
      <c r="J11" s="2" t="n">
        <v>0.446875</v>
      </c>
      <c r="K11" s="2" t="n">
        <v>0.1</v>
      </c>
      <c r="L11" t="inlineStr">
        <is>
          <t>Moves one medium/slow mover using one strong anchor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Bundle logic used in this workbook</t>
        </is>
      </c>
    </row>
    <row r="3">
      <c r="A3" t="inlineStr">
        <is>
          <t>1) Input columns follow your exact dataset: clean_product_name, category, product_id, purchased_item_count, purchased_qty_m1..m4, cont_from_total, stock, reserved_stock, available_stock.</t>
        </is>
      </c>
    </row>
    <row r="4">
      <c r="A4" t="inlineStr">
        <is>
          <t>2) sold_qty_last_4m = SUM(purchased_qty_m1:purchased_qty_m4). Current month is intentionally excluded.</t>
        </is>
      </c>
    </row>
    <row r="5">
      <c r="A5" t="inlineStr">
        <is>
          <t>3) Movement_Percentile ranks sold_qty_last_4m (0 = slowest mover, 1 = fastest mover).</t>
        </is>
      </c>
    </row>
    <row r="6">
      <c r="A6" t="inlineStr">
        <is>
          <t>4) Slow_Mover_Score = 1 - Movement_Percentile (higher means slower mover, more urgent for bundling).</t>
        </is>
      </c>
    </row>
    <row r="7">
      <c r="A7" t="inlineStr">
        <is>
          <t>5) Stock coverage = available_stock / avg_monthly_qty_4m. Higher coverage means higher stock pressure.</t>
        </is>
      </c>
    </row>
    <row r="8">
      <c r="A8" t="inlineStr">
        <is>
          <t>6) Stock_Pressure_Percentile ranks stock_coverage_months to prioritize overstocked slow movers.</t>
        </is>
      </c>
    </row>
    <row r="9">
      <c r="A9" t="inlineStr">
        <is>
          <t>7) Bundle_Priority_Score = 0.45*Slow_Mover_Score + 0.35*Stock_Pressure_Percentile + 0.20*Contribution_Percentile.</t>
        </is>
      </c>
    </row>
    <row r="10">
      <c r="A10" t="inlineStr">
        <is>
          <t>8) Bundle clusters from Bundle_Priority_Score:</t>
        </is>
      </c>
    </row>
    <row r="11">
      <c r="A11" t="inlineStr">
        <is>
          <t xml:space="preserve">   - High Value Bundle: score &gt;= 0.67</t>
        </is>
      </c>
    </row>
    <row r="12">
      <c r="A12" t="inlineStr">
        <is>
          <t xml:space="preserve">   - Medium Value Bundle: 0.34 &lt;= score &lt; 0.67</t>
        </is>
      </c>
    </row>
    <row r="13">
      <c r="A13" t="inlineStr">
        <is>
          <t xml:space="preserve">   - Low Value Bundle: score &lt; 0.34</t>
        </is>
      </c>
    </row>
    <row r="14">
      <c r="A14" t="inlineStr">
        <is>
          <t>9) Anchor_Eligible = high movement + high contribution + available stock (&gt;=70th percentile movement and contribution).</t>
        </is>
      </c>
    </row>
    <row r="15">
      <c r="A15" t="inlineStr">
        <is>
          <t>10) Candidate_Eligible = Low Movement + available stock &gt; 0 + stock coverage &gt;=2 months.</t>
        </is>
      </c>
    </row>
    <row r="16">
      <c r="A16" t="inlineStr">
        <is>
          <t>11) Recommended bundle design: every candidate includes one anchor product that attracts customers.</t>
        </is>
      </c>
    </row>
    <row r="17">
      <c r="A17" t="inlineStr">
        <is>
          <t>12) Suggested discount is intentionally slight to control burn:</t>
        </is>
      </c>
    </row>
    <row r="18">
      <c r="A18" t="inlineStr">
        <is>
          <t xml:space="preserve">    - High Value: 5%</t>
        </is>
      </c>
    </row>
    <row r="19">
      <c r="A19" t="inlineStr">
        <is>
          <t xml:space="preserve">    - Medium Value: 7%</t>
        </is>
      </c>
    </row>
    <row r="20">
      <c r="A20" t="inlineStr">
        <is>
          <t xml:space="preserve">    - Low Value: 10%</t>
        </is>
      </c>
    </row>
    <row r="21">
      <c r="A21" t="inlineStr">
        <is>
          <t xml:space="preserve">    - Add +2% only when stock coverage &gt;=8 months (capped at 12%).</t>
        </is>
      </c>
    </row>
    <row r="22">
      <c r="A22" t="inlineStr">
        <is>
          <t>13) stock_data_check flags rows where available_stock does not match stock - reserved_stock.</t>
        </is>
      </c>
    </row>
    <row r="23">
      <c r="A23" t="inlineStr">
        <is>
          <t>14) Use generate_all_possible_bundles.py to produce all bundle combinations up to 3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0" customWidth="1" min="4" max="4"/>
    <col width="16" customWidth="1" min="5" max="5"/>
    <col width="30" customWidth="1" min="6" max="6"/>
    <col width="16" customWidth="1" min="7" max="7"/>
    <col width="30" customWidth="1" min="8" max="8"/>
    <col width="20" customWidth="1" min="9" max="9"/>
    <col width="20" customWidth="1" min="10" max="10"/>
    <col width="18" customWidth="1" min="11" max="11"/>
    <col width="56" customWidth="1" min="12" max="12"/>
  </cols>
  <sheetData>
    <row r="1">
      <c r="A1" s="1" t="inlineStr">
        <is>
          <t>bundle_id</t>
        </is>
      </c>
      <c r="B1" s="1" t="inlineStr">
        <is>
          <t>bundle_size</t>
        </is>
      </c>
      <c r="C1" s="1" t="inlineStr">
        <is>
          <t>anchor_product_id</t>
        </is>
      </c>
      <c r="D1" s="1" t="inlineStr">
        <is>
          <t>anchor_product_name</t>
        </is>
      </c>
      <c r="E1" s="1" t="inlineStr">
        <is>
          <t>item_2_product_id</t>
        </is>
      </c>
      <c r="F1" s="1" t="inlineStr">
        <is>
          <t>item_2_product_name</t>
        </is>
      </c>
      <c r="G1" s="1" t="inlineStr">
        <is>
          <t>item_3_product_id</t>
        </is>
      </c>
      <c r="H1" s="1" t="inlineStr">
        <is>
          <t>item_3_product_name</t>
        </is>
      </c>
      <c r="I1" s="1" t="inlineStr">
        <is>
          <t>category_mix</t>
        </is>
      </c>
      <c r="J1" s="1" t="inlineStr">
        <is>
          <t>bundle_priority_score</t>
        </is>
      </c>
      <c r="K1" s="1" t="inlineStr">
        <is>
          <t>suggested_discount_%</t>
        </is>
      </c>
      <c r="L1" s="1" t="inlineStr">
        <is>
          <t>reason</t>
        </is>
      </c>
    </row>
    <row r="2">
      <c r="A2" t="inlineStr">
        <is>
          <t>B-000001</t>
        </is>
      </c>
      <c r="B2" t="n">
        <v>2</v>
      </c>
      <c r="C2" t="inlineStr">
        <is>
          <t>P-2002</t>
        </is>
      </c>
      <c r="D2" t="inlineStr">
        <is>
          <t>Sea Salt Crackers</t>
        </is>
      </c>
      <c r="E2" t="inlineStr">
        <is>
          <t>P-3001</t>
        </is>
      </c>
      <c r="F2" t="inlineStr">
        <is>
          <t>Aloe Vera Gel 250ml</t>
        </is>
      </c>
      <c r="G2" t="inlineStr"/>
      <c r="H2" t="inlineStr"/>
      <c r="I2" t="inlineStr">
        <is>
          <t>Cross Category</t>
        </is>
      </c>
      <c r="J2" s="2" t="n">
        <v>0.8500000000000001</v>
      </c>
      <c r="K2" s="2" t="n">
        <v>0.07000000000000001</v>
      </c>
      <c r="L2" t="inlineStr">
        <is>
          <t>Moves one medium/slow mover using one strong anchor</t>
        </is>
      </c>
    </row>
    <row r="3">
      <c r="A3" t="inlineStr">
        <is>
          <t>B-000002</t>
        </is>
      </c>
      <c r="B3" t="n">
        <v>3</v>
      </c>
      <c r="C3" t="inlineStr">
        <is>
          <t>P-2002</t>
        </is>
      </c>
      <c r="D3" t="inlineStr">
        <is>
          <t>Sea Salt Crackers</t>
        </is>
      </c>
      <c r="E3" t="inlineStr">
        <is>
          <t>P-3001</t>
        </is>
      </c>
      <c r="F3" t="inlineStr">
        <is>
          <t>Aloe Vera Gel 250ml</t>
        </is>
      </c>
      <c r="G3" t="inlineStr">
        <is>
          <t>P-2001</t>
        </is>
      </c>
      <c r="H3" t="inlineStr">
        <is>
          <t>Dry Fruit Mix 200g</t>
        </is>
      </c>
      <c r="I3" t="inlineStr">
        <is>
          <t>Mixed Category</t>
        </is>
      </c>
      <c r="J3" s="2" t="n">
        <v>0.7875000000000001</v>
      </c>
      <c r="K3" s="2" t="n">
        <v>0.09000000000000001</v>
      </c>
      <c r="L3" t="inlineStr">
        <is>
          <t>Moves two medium/slow movers with one strong anchor</t>
        </is>
      </c>
    </row>
    <row r="4">
      <c r="A4" t="inlineStr">
        <is>
          <t>B-000003</t>
        </is>
      </c>
      <c r="B4" t="n">
        <v>2</v>
      </c>
      <c r="C4" t="inlineStr">
        <is>
          <t>P-2002</t>
        </is>
      </c>
      <c r="D4" t="inlineStr">
        <is>
          <t>Sea Salt Crackers</t>
        </is>
      </c>
      <c r="E4" t="inlineStr">
        <is>
          <t>P-2001</t>
        </is>
      </c>
      <c r="F4" t="inlineStr">
        <is>
          <t>Dry Fruit Mix 200g</t>
        </is>
      </c>
      <c r="G4" t="inlineStr"/>
      <c r="H4" t="inlineStr"/>
      <c r="I4" t="inlineStr">
        <is>
          <t>Same Category</t>
        </is>
      </c>
      <c r="J4" s="2" t="n">
        <v>0.7375</v>
      </c>
      <c r="K4" s="2" t="n">
        <v>0.09000000000000001</v>
      </c>
      <c r="L4" t="inlineStr">
        <is>
          <t>Moves one medium/slow mover using one strong anchor</t>
        </is>
      </c>
    </row>
    <row r="5">
      <c r="A5" t="inlineStr">
        <is>
          <t>B-000004</t>
        </is>
      </c>
      <c r="B5" t="n">
        <v>3</v>
      </c>
      <c r="C5" t="inlineStr">
        <is>
          <t>P-2002</t>
        </is>
      </c>
      <c r="D5" t="inlineStr">
        <is>
          <t>Sea Salt Crackers</t>
        </is>
      </c>
      <c r="E5" t="inlineStr">
        <is>
          <t>P-3001</t>
        </is>
      </c>
      <c r="F5" t="inlineStr">
        <is>
          <t>Aloe Vera Gel 250ml</t>
        </is>
      </c>
      <c r="G5" t="inlineStr">
        <is>
          <t>P-1002</t>
        </is>
      </c>
      <c r="H5" t="inlineStr">
        <is>
          <t>Premium Coffee Beans 1kg</t>
        </is>
      </c>
      <c r="I5" t="inlineStr">
        <is>
          <t>Mixed Category</t>
        </is>
      </c>
      <c r="J5" s="2" t="n">
        <v>0.7350000000000001</v>
      </c>
      <c r="K5" s="2" t="n">
        <v>0.07000000000000001</v>
      </c>
      <c r="L5" t="inlineStr">
        <is>
          <t>Moves two medium/slow movers with one strong anchor</t>
        </is>
      </c>
    </row>
    <row r="6">
      <c r="A6" t="inlineStr">
        <is>
          <t>B-000005</t>
        </is>
      </c>
      <c r="B6" t="n">
        <v>3</v>
      </c>
      <c r="C6" t="inlineStr">
        <is>
          <t>P-2002</t>
        </is>
      </c>
      <c r="D6" t="inlineStr">
        <is>
          <t>Sea Salt Crackers</t>
        </is>
      </c>
      <c r="E6" t="inlineStr">
        <is>
          <t>P-2001</t>
        </is>
      </c>
      <c r="F6" t="inlineStr">
        <is>
          <t>Dry Fruit Mix 200g</t>
        </is>
      </c>
      <c r="G6" t="inlineStr">
        <is>
          <t>P-1002</t>
        </is>
      </c>
      <c r="H6" t="inlineStr">
        <is>
          <t>Premium Coffee Beans 1kg</t>
        </is>
      </c>
      <c r="I6" t="inlineStr">
        <is>
          <t>Mixed Category</t>
        </is>
      </c>
      <c r="J6" s="2" t="n">
        <v>0.6675</v>
      </c>
      <c r="K6" s="2" t="n">
        <v>0.09000000000000001</v>
      </c>
      <c r="L6" t="inlineStr">
        <is>
          <t>Moves two medium/slow movers with one strong anchor</t>
        </is>
      </c>
    </row>
    <row r="7">
      <c r="A7" t="inlineStr">
        <is>
          <t>B-000006</t>
        </is>
      </c>
      <c r="B7" t="n">
        <v>3</v>
      </c>
      <c r="C7" t="inlineStr">
        <is>
          <t>P-2002</t>
        </is>
      </c>
      <c r="D7" t="inlineStr">
        <is>
          <t>Sea Salt Crackers</t>
        </is>
      </c>
      <c r="E7" t="inlineStr">
        <is>
          <t>P-3001</t>
        </is>
      </c>
      <c r="F7" t="inlineStr">
        <is>
          <t>Aloe Vera Gel 250ml</t>
        </is>
      </c>
      <c r="G7" t="inlineStr">
        <is>
          <t>P-1001</t>
        </is>
      </c>
      <c r="H7" t="inlineStr">
        <is>
          <t>Sparkling Water 330ml</t>
        </is>
      </c>
      <c r="I7" t="inlineStr">
        <is>
          <t>Mixed Category</t>
        </is>
      </c>
      <c r="J7" s="2" t="n">
        <v>0.651875</v>
      </c>
      <c r="K7" s="2" t="n">
        <v>0.1</v>
      </c>
      <c r="L7" t="inlineStr">
        <is>
          <t>Moves two medium/slow movers with one strong anchor</t>
        </is>
      </c>
    </row>
    <row r="8">
      <c r="A8" t="inlineStr">
        <is>
          <t>B-000007</t>
        </is>
      </c>
      <c r="B8" t="n">
        <v>2</v>
      </c>
      <c r="C8" t="inlineStr">
        <is>
          <t>P-2002</t>
        </is>
      </c>
      <c r="D8" t="inlineStr">
        <is>
          <t>Sea Salt Crackers</t>
        </is>
      </c>
      <c r="E8" t="inlineStr">
        <is>
          <t>P-1002</t>
        </is>
      </c>
      <c r="F8" t="inlineStr">
        <is>
          <t>Premium Coffee Beans 1kg</t>
        </is>
      </c>
      <c r="G8" t="inlineStr"/>
      <c r="H8" t="inlineStr"/>
      <c r="I8" t="inlineStr">
        <is>
          <t>Cross Category</t>
        </is>
      </c>
      <c r="J8" s="2" t="n">
        <v>0.625</v>
      </c>
      <c r="K8" s="2" t="n">
        <v>0.07000000000000001</v>
      </c>
      <c r="L8" t="inlineStr">
        <is>
          <t>Moves one medium/slow mover using one strong anchor</t>
        </is>
      </c>
    </row>
    <row r="9">
      <c r="A9" t="inlineStr">
        <is>
          <t>B-000008</t>
        </is>
      </c>
      <c r="B9" t="n">
        <v>3</v>
      </c>
      <c r="C9" t="inlineStr">
        <is>
          <t>P-2002</t>
        </is>
      </c>
      <c r="D9" t="inlineStr">
        <is>
          <t>Sea Salt Crackers</t>
        </is>
      </c>
      <c r="E9" t="inlineStr">
        <is>
          <t>P-2001</t>
        </is>
      </c>
      <c r="F9" t="inlineStr">
        <is>
          <t>Dry Fruit Mix 200g</t>
        </is>
      </c>
      <c r="G9" t="inlineStr">
        <is>
          <t>P-1001</t>
        </is>
      </c>
      <c r="H9" t="inlineStr">
        <is>
          <t>Sparkling Water 330ml</t>
        </is>
      </c>
      <c r="I9" t="inlineStr">
        <is>
          <t>Mixed Category</t>
        </is>
      </c>
      <c r="J9" s="2" t="n">
        <v>0.5843750000000001</v>
      </c>
      <c r="K9" s="2" t="n">
        <v>0.1</v>
      </c>
      <c r="L9" t="inlineStr">
        <is>
          <t>Moves two medium/slow movers with one strong anchor</t>
        </is>
      </c>
    </row>
    <row r="10">
      <c r="A10" t="inlineStr">
        <is>
          <t>B-000009</t>
        </is>
      </c>
      <c r="B10" t="n">
        <v>3</v>
      </c>
      <c r="C10" t="inlineStr">
        <is>
          <t>P-2002</t>
        </is>
      </c>
      <c r="D10" t="inlineStr">
        <is>
          <t>Sea Salt Crackers</t>
        </is>
      </c>
      <c r="E10" t="inlineStr">
        <is>
          <t>P-1002</t>
        </is>
      </c>
      <c r="F10" t="inlineStr">
        <is>
          <t>Premium Coffee Beans 1kg</t>
        </is>
      </c>
      <c r="G10" t="inlineStr">
        <is>
          <t>P-1001</t>
        </is>
      </c>
      <c r="H10" t="inlineStr">
        <is>
          <t>Sparkling Water 330ml</t>
        </is>
      </c>
      <c r="I10" t="inlineStr">
        <is>
          <t>Mixed Category</t>
        </is>
      </c>
      <c r="J10" s="2" t="n">
        <v>0.516875</v>
      </c>
      <c r="K10" s="2" t="n">
        <v>0.1</v>
      </c>
      <c r="L10" t="inlineStr">
        <is>
          <t>Moves two medium/slow movers with one strong anchor</t>
        </is>
      </c>
    </row>
    <row r="11">
      <c r="A11" t="inlineStr">
        <is>
          <t>B-000010</t>
        </is>
      </c>
      <c r="B11" t="n">
        <v>2</v>
      </c>
      <c r="C11" t="inlineStr">
        <is>
          <t>P-2002</t>
        </is>
      </c>
      <c r="D11" t="inlineStr">
        <is>
          <t>Sea Salt Crackers</t>
        </is>
      </c>
      <c r="E11" t="inlineStr">
        <is>
          <t>P-1001</t>
        </is>
      </c>
      <c r="F11" t="inlineStr">
        <is>
          <t>Sparkling Water 330ml</t>
        </is>
      </c>
      <c r="G11" t="inlineStr"/>
      <c r="H11" t="inlineStr"/>
      <c r="I11" t="inlineStr">
        <is>
          <t>Cross Category</t>
        </is>
      </c>
      <c r="J11" s="2" t="n">
        <v>0.446875</v>
      </c>
      <c r="K11" s="2" t="n">
        <v>0.1</v>
      </c>
      <c r="L11" t="inlineStr">
        <is>
          <t>Moves one medium/slow mover using one strong anchor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2026-07-18T11:01:10Z</dcterms:created>
  <dcterms:modified xsi:type="dcterms:W3CDTF">2026-07-18T11:01:10Z</dcterms:modified>
</cp:coreProperties>
</file>