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_Data" sheetId="1" state="visible" r:id="rId1"/>
    <sheet name="Scoring_Model" sheetId="2" state="visible" r:id="rId2"/>
    <sheet name="Bundle_Recommendations" sheetId="3" state="visible" r:id="rId3"/>
    <sheet name="Logic" sheetId="4" state="visible" r:id="rId4"/>
  </sheets>
  <definedNames>
    <definedName name="_xlnm._FilterDatabase" localSheetId="2" hidden="1">'Bundle_Recommendations'!$A$1:$I$300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8" customWidth="1" min="10" max="10"/>
  </cols>
  <sheetData>
    <row r="1">
      <c r="A1" s="1" t="inlineStr">
        <is>
          <t>Product_ID</t>
        </is>
      </c>
      <c r="B1" s="1" t="inlineStr">
        <is>
          <t>Product_Name</t>
        </is>
      </c>
      <c r="C1" s="1" t="inlineStr">
        <is>
          <t>Category</t>
        </is>
      </c>
      <c r="D1" s="1" t="inlineStr">
        <is>
          <t>Purchased_Qty_M1</t>
        </is>
      </c>
      <c r="E1" s="1" t="inlineStr">
        <is>
          <t>Purchased_Qty_M2</t>
        </is>
      </c>
      <c r="F1" s="1" t="inlineStr">
        <is>
          <t>Purchased_Qty_M3</t>
        </is>
      </c>
      <c r="G1" s="1" t="inlineStr">
        <is>
          <t>Purchased_Qty_M4</t>
        </is>
      </c>
      <c r="H1" s="1" t="inlineStr">
        <is>
          <t>Purchased_Qty_M5</t>
        </is>
      </c>
      <c r="I1" s="1" t="inlineStr">
        <is>
          <t>Purchased_Qty_M6</t>
        </is>
      </c>
      <c r="J1" s="1" t="inlineStr">
        <is>
          <t>Contribution_%_of_Total_Sales</t>
        </is>
      </c>
    </row>
    <row r="2">
      <c r="A2" t="inlineStr">
        <is>
          <t>P-1001</t>
        </is>
      </c>
      <c r="B2" t="inlineStr">
        <is>
          <t>Sparkling Water 330ml</t>
        </is>
      </c>
      <c r="C2" t="inlineStr">
        <is>
          <t>Beverages</t>
        </is>
      </c>
      <c r="D2" t="n">
        <v>440</v>
      </c>
      <c r="E2" t="n">
        <v>470</v>
      </c>
      <c r="F2" t="n">
        <v>510</v>
      </c>
      <c r="G2" t="n">
        <v>525</v>
      </c>
      <c r="H2" t="n">
        <v>560</v>
      </c>
      <c r="I2" t="n">
        <v>610</v>
      </c>
      <c r="J2" s="2" t="n">
        <v>0.091</v>
      </c>
    </row>
    <row r="3">
      <c r="A3" t="inlineStr">
        <is>
          <t>P-1002</t>
        </is>
      </c>
      <c r="B3" t="inlineStr">
        <is>
          <t>Premium Coffee Beans</t>
        </is>
      </c>
      <c r="C3" t="inlineStr">
        <is>
          <t>Beverages</t>
        </is>
      </c>
      <c r="D3" t="n">
        <v>210</v>
      </c>
      <c r="E3" t="n">
        <v>205</v>
      </c>
      <c r="F3" t="n">
        <v>198</v>
      </c>
      <c r="G3" t="n">
        <v>183</v>
      </c>
      <c r="H3" t="n">
        <v>176</v>
      </c>
      <c r="I3" t="n">
        <v>169</v>
      </c>
      <c r="J3" s="2" t="n">
        <v>0.044</v>
      </c>
    </row>
    <row r="4">
      <c r="A4" t="inlineStr">
        <is>
          <t>P-2001</t>
        </is>
      </c>
      <c r="B4" t="inlineStr">
        <is>
          <t>Dry Fruit Mix 200g</t>
        </is>
      </c>
      <c r="C4" t="inlineStr">
        <is>
          <t>Snacks</t>
        </is>
      </c>
      <c r="D4" t="n">
        <v>98</v>
      </c>
      <c r="E4" t="n">
        <v>95</v>
      </c>
      <c r="F4" t="n">
        <v>87</v>
      </c>
      <c r="G4" t="n">
        <v>75</v>
      </c>
      <c r="H4" t="n">
        <v>64</v>
      </c>
      <c r="I4" t="n">
        <v>55</v>
      </c>
      <c r="J4" s="2" t="n">
        <v>0.021</v>
      </c>
    </row>
    <row r="5">
      <c r="A5" t="inlineStr">
        <is>
          <t>P-2002</t>
        </is>
      </c>
      <c r="B5" t="inlineStr">
        <is>
          <t>Sea Salt Crackers</t>
        </is>
      </c>
      <c r="C5" t="inlineStr">
        <is>
          <t>Snacks</t>
        </is>
      </c>
      <c r="D5" t="n">
        <v>520</v>
      </c>
      <c r="E5" t="n">
        <v>548</v>
      </c>
      <c r="F5" t="n">
        <v>561</v>
      </c>
      <c r="G5" t="n">
        <v>575</v>
      </c>
      <c r="H5" t="n">
        <v>590</v>
      </c>
      <c r="I5" t="n">
        <v>615</v>
      </c>
      <c r="J5" s="2" t="n">
        <v>0.102</v>
      </c>
    </row>
    <row r="6">
      <c r="A6" t="inlineStr">
        <is>
          <t>P-3001</t>
        </is>
      </c>
      <c r="B6" t="inlineStr">
        <is>
          <t>Aloe Vera Gel 250ml</t>
        </is>
      </c>
      <c r="C6" t="inlineStr">
        <is>
          <t>Personal Care</t>
        </is>
      </c>
      <c r="D6" t="n">
        <v>41</v>
      </c>
      <c r="E6" t="n">
        <v>39</v>
      </c>
      <c r="F6" t="n">
        <v>35</v>
      </c>
      <c r="G6" t="n">
        <v>30</v>
      </c>
      <c r="H6" t="n">
        <v>24</v>
      </c>
      <c r="I6" t="n">
        <v>19</v>
      </c>
      <c r="J6" s="2" t="n">
        <v>0.013</v>
      </c>
    </row>
    <row r="7">
      <c r="J7" s="2" t="n"/>
    </row>
    <row r="8">
      <c r="J8" s="2" t="n"/>
    </row>
    <row r="9">
      <c r="J9" s="2" t="n"/>
    </row>
    <row r="10">
      <c r="J10" s="2" t="n"/>
    </row>
    <row r="11">
      <c r="J11" s="2" t="n"/>
    </row>
    <row r="12">
      <c r="J12" s="2" t="n"/>
    </row>
    <row r="13">
      <c r="J13" s="2" t="n"/>
    </row>
    <row r="14">
      <c r="J14" s="2" t="n"/>
    </row>
    <row r="15">
      <c r="J15" s="2" t="n"/>
    </row>
    <row r="16">
      <c r="J16" s="2" t="n"/>
    </row>
    <row r="17">
      <c r="J17" s="2" t="n"/>
    </row>
    <row r="18">
      <c r="J18" s="2" t="n"/>
    </row>
    <row r="19">
      <c r="J19" s="2" t="n"/>
    </row>
    <row r="20">
      <c r="J20" s="2" t="n"/>
    </row>
    <row r="21">
      <c r="J21" s="2" t="n"/>
    </row>
    <row r="22">
      <c r="J22" s="2" t="n"/>
    </row>
    <row r="23">
      <c r="J23" s="2" t="n"/>
    </row>
    <row r="24">
      <c r="J24" s="2" t="n"/>
    </row>
    <row r="25">
      <c r="J25" s="2" t="n"/>
    </row>
    <row r="26">
      <c r="J26" s="2" t="n"/>
    </row>
    <row r="27">
      <c r="J27" s="2" t="n"/>
    </row>
    <row r="28">
      <c r="J28" s="2" t="n"/>
    </row>
    <row r="29">
      <c r="J29" s="2" t="n"/>
    </row>
    <row r="30">
      <c r="J30" s="2" t="n"/>
    </row>
    <row r="31">
      <c r="J31" s="2" t="n"/>
    </row>
    <row r="32">
      <c r="J32" s="2" t="n"/>
    </row>
    <row r="33">
      <c r="J33" s="2" t="n"/>
    </row>
    <row r="34">
      <c r="J34" s="2" t="n"/>
    </row>
    <row r="35">
      <c r="J35" s="2" t="n"/>
    </row>
    <row r="36">
      <c r="J36" s="2" t="n"/>
    </row>
    <row r="37">
      <c r="J37" s="2" t="n"/>
    </row>
    <row r="38">
      <c r="J38" s="2" t="n"/>
    </row>
    <row r="39">
      <c r="J39" s="2" t="n"/>
    </row>
    <row r="40">
      <c r="J40" s="2" t="n"/>
    </row>
    <row r="41">
      <c r="J41" s="2" t="n"/>
    </row>
    <row r="42">
      <c r="J42" s="2" t="n"/>
    </row>
    <row r="43">
      <c r="J43" s="2" t="n"/>
    </row>
    <row r="44">
      <c r="J44" s="2" t="n"/>
    </row>
    <row r="45">
      <c r="J45" s="2" t="n"/>
    </row>
    <row r="46">
      <c r="J46" s="2" t="n"/>
    </row>
    <row r="47">
      <c r="J47" s="2" t="n"/>
    </row>
    <row r="48">
      <c r="J48" s="2" t="n"/>
    </row>
    <row r="49">
      <c r="J49" s="2" t="n"/>
    </row>
    <row r="50">
      <c r="J50" s="2" t="n"/>
    </row>
    <row r="51">
      <c r="J51" s="2" t="n"/>
    </row>
    <row r="52">
      <c r="J52" s="2" t="n"/>
    </row>
    <row r="53">
      <c r="J53" s="2" t="n"/>
    </row>
    <row r="54">
      <c r="J54" s="2" t="n"/>
    </row>
    <row r="55">
      <c r="J55" s="2" t="n"/>
    </row>
    <row r="56">
      <c r="J56" s="2" t="n"/>
    </row>
    <row r="57">
      <c r="J57" s="2" t="n"/>
    </row>
    <row r="58">
      <c r="J58" s="2" t="n"/>
    </row>
    <row r="59">
      <c r="J59" s="2" t="n"/>
    </row>
    <row r="60">
      <c r="J60" s="2" t="n"/>
    </row>
    <row r="61">
      <c r="J61" s="2" t="n"/>
    </row>
    <row r="62">
      <c r="J62" s="2" t="n"/>
    </row>
    <row r="63">
      <c r="J63" s="2" t="n"/>
    </row>
    <row r="64">
      <c r="J64" s="2" t="n"/>
    </row>
    <row r="65">
      <c r="J65" s="2" t="n"/>
    </row>
    <row r="66">
      <c r="J66" s="2" t="n"/>
    </row>
    <row r="67">
      <c r="J67" s="2" t="n"/>
    </row>
    <row r="68">
      <c r="J68" s="2" t="n"/>
    </row>
    <row r="69">
      <c r="J69" s="2" t="n"/>
    </row>
    <row r="70">
      <c r="J70" s="2" t="n"/>
    </row>
    <row r="71">
      <c r="J71" s="2" t="n"/>
    </row>
    <row r="72">
      <c r="J72" s="2" t="n"/>
    </row>
    <row r="73">
      <c r="J73" s="2" t="n"/>
    </row>
    <row r="74">
      <c r="J74" s="2" t="n"/>
    </row>
    <row r="75">
      <c r="J75" s="2" t="n"/>
    </row>
    <row r="76">
      <c r="J76" s="2" t="n"/>
    </row>
    <row r="77">
      <c r="J77" s="2" t="n"/>
    </row>
    <row r="78">
      <c r="J78" s="2" t="n"/>
    </row>
    <row r="79">
      <c r="J79" s="2" t="n"/>
    </row>
    <row r="80">
      <c r="J80" s="2" t="n"/>
    </row>
    <row r="81">
      <c r="J81" s="2" t="n"/>
    </row>
    <row r="82">
      <c r="J82" s="2" t="n"/>
    </row>
    <row r="83">
      <c r="J83" s="2" t="n"/>
    </row>
    <row r="84">
      <c r="J84" s="2" t="n"/>
    </row>
    <row r="85">
      <c r="J85" s="2" t="n"/>
    </row>
    <row r="86">
      <c r="J86" s="2" t="n"/>
    </row>
    <row r="87">
      <c r="J87" s="2" t="n"/>
    </row>
    <row r="88">
      <c r="J88" s="2" t="n"/>
    </row>
    <row r="89">
      <c r="J89" s="2" t="n"/>
    </row>
    <row r="90">
      <c r="J90" s="2" t="n"/>
    </row>
    <row r="91">
      <c r="J91" s="2" t="n"/>
    </row>
    <row r="92">
      <c r="J92" s="2" t="n"/>
    </row>
    <row r="93">
      <c r="J93" s="2" t="n"/>
    </row>
    <row r="94">
      <c r="J94" s="2" t="n"/>
    </row>
    <row r="95">
      <c r="J95" s="2" t="n"/>
    </row>
    <row r="96">
      <c r="J96" s="2" t="n"/>
    </row>
    <row r="97">
      <c r="J97" s="2" t="n"/>
    </row>
    <row r="98">
      <c r="J98" s="2" t="n"/>
    </row>
    <row r="99">
      <c r="J99" s="2" t="n"/>
    </row>
    <row r="100">
      <c r="J100" s="2" t="n"/>
    </row>
    <row r="101">
      <c r="J101" s="2" t="n"/>
    </row>
    <row r="102">
      <c r="J102" s="2" t="n"/>
    </row>
    <row r="103">
      <c r="J103" s="2" t="n"/>
    </row>
    <row r="104">
      <c r="J104" s="2" t="n"/>
    </row>
    <row r="105">
      <c r="J105" s="2" t="n"/>
    </row>
    <row r="106">
      <c r="J106" s="2" t="n"/>
    </row>
    <row r="107">
      <c r="J107" s="2" t="n"/>
    </row>
    <row r="108">
      <c r="J108" s="2" t="n"/>
    </row>
    <row r="109">
      <c r="J109" s="2" t="n"/>
    </row>
    <row r="110">
      <c r="J110" s="2" t="n"/>
    </row>
    <row r="111">
      <c r="J111" s="2" t="n"/>
    </row>
    <row r="112">
      <c r="J112" s="2" t="n"/>
    </row>
    <row r="113">
      <c r="J113" s="2" t="n"/>
    </row>
    <row r="114">
      <c r="J114" s="2" t="n"/>
    </row>
    <row r="115">
      <c r="J115" s="2" t="n"/>
    </row>
    <row r="116">
      <c r="J116" s="2" t="n"/>
    </row>
    <row r="117">
      <c r="J117" s="2" t="n"/>
    </row>
    <row r="118">
      <c r="J118" s="2" t="n"/>
    </row>
    <row r="119">
      <c r="J119" s="2" t="n"/>
    </row>
    <row r="120">
      <c r="J120" s="2" t="n"/>
    </row>
    <row r="121">
      <c r="J121" s="2" t="n"/>
    </row>
    <row r="122">
      <c r="J122" s="2" t="n"/>
    </row>
    <row r="123">
      <c r="J123" s="2" t="n"/>
    </row>
    <row r="124">
      <c r="J124" s="2" t="n"/>
    </row>
    <row r="125">
      <c r="J125" s="2" t="n"/>
    </row>
    <row r="126">
      <c r="J126" s="2" t="n"/>
    </row>
    <row r="127">
      <c r="J127" s="2" t="n"/>
    </row>
    <row r="128">
      <c r="J128" s="2" t="n"/>
    </row>
    <row r="129">
      <c r="J129" s="2" t="n"/>
    </row>
    <row r="130">
      <c r="J130" s="2" t="n"/>
    </row>
    <row r="131">
      <c r="J131" s="2" t="n"/>
    </row>
    <row r="132">
      <c r="J132" s="2" t="n"/>
    </row>
    <row r="133">
      <c r="J133" s="2" t="n"/>
    </row>
    <row r="134">
      <c r="J134" s="2" t="n"/>
    </row>
    <row r="135">
      <c r="J135" s="2" t="n"/>
    </row>
    <row r="136">
      <c r="J136" s="2" t="n"/>
    </row>
    <row r="137">
      <c r="J137" s="2" t="n"/>
    </row>
    <row r="138">
      <c r="J138" s="2" t="n"/>
    </row>
    <row r="139">
      <c r="J139" s="2" t="n"/>
    </row>
    <row r="140">
      <c r="J140" s="2" t="n"/>
    </row>
    <row r="141">
      <c r="J141" s="2" t="n"/>
    </row>
    <row r="142">
      <c r="J142" s="2" t="n"/>
    </row>
    <row r="143">
      <c r="J143" s="2" t="n"/>
    </row>
    <row r="144">
      <c r="J144" s="2" t="n"/>
    </row>
    <row r="145">
      <c r="J145" s="2" t="n"/>
    </row>
    <row r="146">
      <c r="J146" s="2" t="n"/>
    </row>
    <row r="147">
      <c r="J147" s="2" t="n"/>
    </row>
    <row r="148">
      <c r="J148" s="2" t="n"/>
    </row>
    <row r="149">
      <c r="J149" s="2" t="n"/>
    </row>
    <row r="150">
      <c r="J150" s="2" t="n"/>
    </row>
    <row r="151">
      <c r="J151" s="2" t="n"/>
    </row>
    <row r="152">
      <c r="J152" s="2" t="n"/>
    </row>
    <row r="153">
      <c r="J153" s="2" t="n"/>
    </row>
    <row r="154">
      <c r="J154" s="2" t="n"/>
    </row>
    <row r="155">
      <c r="J155" s="2" t="n"/>
    </row>
    <row r="156">
      <c r="J156" s="2" t="n"/>
    </row>
    <row r="157">
      <c r="J157" s="2" t="n"/>
    </row>
    <row r="158">
      <c r="J158" s="2" t="n"/>
    </row>
    <row r="159">
      <c r="J159" s="2" t="n"/>
    </row>
    <row r="160">
      <c r="J160" s="2" t="n"/>
    </row>
    <row r="161">
      <c r="J161" s="2" t="n"/>
    </row>
    <row r="162">
      <c r="J162" s="2" t="n"/>
    </row>
    <row r="163">
      <c r="J163" s="2" t="n"/>
    </row>
    <row r="164">
      <c r="J164" s="2" t="n"/>
    </row>
    <row r="165">
      <c r="J165" s="2" t="n"/>
    </row>
    <row r="166">
      <c r="J166" s="2" t="n"/>
    </row>
    <row r="167">
      <c r="J167" s="2" t="n"/>
    </row>
    <row r="168">
      <c r="J168" s="2" t="n"/>
    </row>
    <row r="169">
      <c r="J169" s="2" t="n"/>
    </row>
    <row r="170">
      <c r="J170" s="2" t="n"/>
    </row>
    <row r="171">
      <c r="J171" s="2" t="n"/>
    </row>
    <row r="172">
      <c r="J172" s="2" t="n"/>
    </row>
    <row r="173">
      <c r="J173" s="2" t="n"/>
    </row>
    <row r="174">
      <c r="J174" s="2" t="n"/>
    </row>
    <row r="175">
      <c r="J175" s="2" t="n"/>
    </row>
    <row r="176">
      <c r="J176" s="2" t="n"/>
    </row>
    <row r="177">
      <c r="J177" s="2" t="n"/>
    </row>
    <row r="178">
      <c r="J178" s="2" t="n"/>
    </row>
    <row r="179">
      <c r="J179" s="2" t="n"/>
    </row>
    <row r="180">
      <c r="J180" s="2" t="n"/>
    </row>
    <row r="181">
      <c r="J181" s="2" t="n"/>
    </row>
    <row r="182">
      <c r="J182" s="2" t="n"/>
    </row>
    <row r="183">
      <c r="J183" s="2" t="n"/>
    </row>
    <row r="184">
      <c r="J184" s="2" t="n"/>
    </row>
    <row r="185">
      <c r="J185" s="2" t="n"/>
    </row>
    <row r="186">
      <c r="J186" s="2" t="n"/>
    </row>
    <row r="187">
      <c r="J187" s="2" t="n"/>
    </row>
    <row r="188">
      <c r="J188" s="2" t="n"/>
    </row>
    <row r="189">
      <c r="J189" s="2" t="n"/>
    </row>
    <row r="190">
      <c r="J190" s="2" t="n"/>
    </row>
    <row r="191">
      <c r="J191" s="2" t="n"/>
    </row>
    <row r="192">
      <c r="J192" s="2" t="n"/>
    </row>
    <row r="193">
      <c r="J193" s="2" t="n"/>
    </row>
    <row r="194">
      <c r="J194" s="2" t="n"/>
    </row>
    <row r="195">
      <c r="J195" s="2" t="n"/>
    </row>
    <row r="196">
      <c r="J196" s="2" t="n"/>
    </row>
    <row r="197">
      <c r="J197" s="2" t="n"/>
    </row>
    <row r="198">
      <c r="J198" s="2" t="n"/>
    </row>
    <row r="199">
      <c r="J199" s="2" t="n"/>
    </row>
    <row r="200">
      <c r="J200" s="2" t="n"/>
    </row>
    <row r="201">
      <c r="J201" s="2" t="n"/>
    </row>
    <row r="202">
      <c r="J202" s="2" t="n"/>
    </row>
    <row r="203">
      <c r="J203" s="2" t="n"/>
    </row>
    <row r="204">
      <c r="J204" s="2" t="n"/>
    </row>
    <row r="205">
      <c r="J205" s="2" t="n"/>
    </row>
    <row r="206">
      <c r="J206" s="2" t="n"/>
    </row>
    <row r="207">
      <c r="J207" s="2" t="n"/>
    </row>
    <row r="208">
      <c r="J208" s="2" t="n"/>
    </row>
    <row r="209">
      <c r="J209" s="2" t="n"/>
    </row>
    <row r="210">
      <c r="J210" s="2" t="n"/>
    </row>
    <row r="211">
      <c r="J211" s="2" t="n"/>
    </row>
    <row r="212">
      <c r="J212" s="2" t="n"/>
    </row>
    <row r="213">
      <c r="J213" s="2" t="n"/>
    </row>
    <row r="214">
      <c r="J214" s="2" t="n"/>
    </row>
    <row r="215">
      <c r="J215" s="2" t="n"/>
    </row>
    <row r="216">
      <c r="J216" s="2" t="n"/>
    </row>
    <row r="217">
      <c r="J217" s="2" t="n"/>
    </row>
    <row r="218">
      <c r="J218" s="2" t="n"/>
    </row>
    <row r="219">
      <c r="J219" s="2" t="n"/>
    </row>
    <row r="220">
      <c r="J220" s="2" t="n"/>
    </row>
    <row r="221">
      <c r="J221" s="2" t="n"/>
    </row>
    <row r="222">
      <c r="J222" s="2" t="n"/>
    </row>
    <row r="223">
      <c r="J223" s="2" t="n"/>
    </row>
    <row r="224">
      <c r="J224" s="2" t="n"/>
    </row>
    <row r="225">
      <c r="J225" s="2" t="n"/>
    </row>
    <row r="226">
      <c r="J226" s="2" t="n"/>
    </row>
    <row r="227">
      <c r="J227" s="2" t="n"/>
    </row>
    <row r="228">
      <c r="J228" s="2" t="n"/>
    </row>
    <row r="229">
      <c r="J229" s="2" t="n"/>
    </row>
    <row r="230">
      <c r="J230" s="2" t="n"/>
    </row>
    <row r="231">
      <c r="J231" s="2" t="n"/>
    </row>
    <row r="232">
      <c r="J232" s="2" t="n"/>
    </row>
    <row r="233">
      <c r="J233" s="2" t="n"/>
    </row>
    <row r="234">
      <c r="J234" s="2" t="n"/>
    </row>
    <row r="235">
      <c r="J235" s="2" t="n"/>
    </row>
    <row r="236">
      <c r="J236" s="2" t="n"/>
    </row>
    <row r="237">
      <c r="J237" s="2" t="n"/>
    </row>
    <row r="238">
      <c r="J238" s="2" t="n"/>
    </row>
    <row r="239">
      <c r="J239" s="2" t="n"/>
    </row>
    <row r="240">
      <c r="J240" s="2" t="n"/>
    </row>
    <row r="241">
      <c r="J241" s="2" t="n"/>
    </row>
    <row r="242">
      <c r="J242" s="2" t="n"/>
    </row>
    <row r="243">
      <c r="J243" s="2" t="n"/>
    </row>
    <row r="244">
      <c r="J244" s="2" t="n"/>
    </row>
    <row r="245">
      <c r="J245" s="2" t="n"/>
    </row>
    <row r="246">
      <c r="J246" s="2" t="n"/>
    </row>
    <row r="247">
      <c r="J247" s="2" t="n"/>
    </row>
    <row r="248">
      <c r="J248" s="2" t="n"/>
    </row>
    <row r="249">
      <c r="J249" s="2" t="n"/>
    </row>
    <row r="250">
      <c r="J250" s="2" t="n"/>
    </row>
    <row r="251">
      <c r="J251" s="2" t="n"/>
    </row>
    <row r="252">
      <c r="J252" s="2" t="n"/>
    </row>
    <row r="253">
      <c r="J253" s="2" t="n"/>
    </row>
    <row r="254">
      <c r="J254" s="2" t="n"/>
    </row>
    <row r="255">
      <c r="J255" s="2" t="n"/>
    </row>
    <row r="256">
      <c r="J256" s="2" t="n"/>
    </row>
    <row r="257">
      <c r="J257" s="2" t="n"/>
    </row>
    <row r="258">
      <c r="J258" s="2" t="n"/>
    </row>
    <row r="259">
      <c r="J259" s="2" t="n"/>
    </row>
    <row r="260">
      <c r="J260" s="2" t="n"/>
    </row>
    <row r="261">
      <c r="J261" s="2" t="n"/>
    </row>
    <row r="262">
      <c r="J262" s="2" t="n"/>
    </row>
    <row r="263">
      <c r="J263" s="2" t="n"/>
    </row>
    <row r="264">
      <c r="J264" s="2" t="n"/>
    </row>
    <row r="265">
      <c r="J265" s="2" t="n"/>
    </row>
    <row r="266">
      <c r="J266" s="2" t="n"/>
    </row>
    <row r="267">
      <c r="J267" s="2" t="n"/>
    </row>
    <row r="268">
      <c r="J268" s="2" t="n"/>
    </row>
    <row r="269">
      <c r="J269" s="2" t="n"/>
    </row>
    <row r="270">
      <c r="J270" s="2" t="n"/>
    </row>
    <row r="271">
      <c r="J271" s="2" t="n"/>
    </row>
    <row r="272">
      <c r="J272" s="2" t="n"/>
    </row>
    <row r="273">
      <c r="J273" s="2" t="n"/>
    </row>
    <row r="274">
      <c r="J274" s="2" t="n"/>
    </row>
    <row r="275">
      <c r="J275" s="2" t="n"/>
    </row>
    <row r="276">
      <c r="J276" s="2" t="n"/>
    </row>
    <row r="277">
      <c r="J277" s="2" t="n"/>
    </row>
    <row r="278">
      <c r="J278" s="2" t="n"/>
    </row>
    <row r="279">
      <c r="J279" s="2" t="n"/>
    </row>
    <row r="280">
      <c r="J280" s="2" t="n"/>
    </row>
    <row r="281">
      <c r="J281" s="2" t="n"/>
    </row>
    <row r="282">
      <c r="J282" s="2" t="n"/>
    </row>
    <row r="283">
      <c r="J283" s="2" t="n"/>
    </row>
    <row r="284">
      <c r="J284" s="2" t="n"/>
    </row>
    <row r="285">
      <c r="J285" s="2" t="n"/>
    </row>
    <row r="286">
      <c r="J286" s="2" t="n"/>
    </row>
    <row r="287">
      <c r="J287" s="2" t="n"/>
    </row>
    <row r="288">
      <c r="J288" s="2" t="n"/>
    </row>
    <row r="289">
      <c r="J289" s="2" t="n"/>
    </row>
    <row r="290">
      <c r="J290" s="2" t="n"/>
    </row>
    <row r="291">
      <c r="J291" s="2" t="n"/>
    </row>
    <row r="292">
      <c r="J292" s="2" t="n"/>
    </row>
    <row r="293">
      <c r="J293" s="2" t="n"/>
    </row>
    <row r="294">
      <c r="J294" s="2" t="n"/>
    </row>
    <row r="295">
      <c r="J295" s="2" t="n"/>
    </row>
    <row r="296">
      <c r="J296" s="2" t="n"/>
    </row>
    <row r="297">
      <c r="J297" s="2" t="n"/>
    </row>
    <row r="298">
      <c r="J298" s="2" t="n"/>
    </row>
    <row r="299">
      <c r="J299" s="2" t="n"/>
    </row>
    <row r="300">
      <c r="J3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4" customWidth="1" min="4" max="4"/>
    <col width="16" customWidth="1" min="5" max="5"/>
    <col width="18" customWidth="1" min="6" max="6"/>
    <col width="14" customWidth="1" min="7" max="7"/>
    <col width="20" customWidth="1" min="8" max="8"/>
    <col width="14" customWidth="1" min="9" max="9"/>
    <col width="20" customWidth="1" min="10" max="10"/>
    <col width="18" customWidth="1" min="11" max="11"/>
    <col width="20" customWidth="1" min="12" max="12"/>
    <col width="15" customWidth="1" min="13" max="13"/>
    <col width="18" customWidth="1" min="14" max="14"/>
    <col width="20" customWidth="1" min="15" max="15"/>
    <col width="18" customWidth="1" min="16" max="16"/>
    <col width="25" customWidth="1" min="17" max="17"/>
  </cols>
  <sheetData>
    <row r="1">
      <c r="A1" s="1" t="inlineStr">
        <is>
          <t>Product_ID</t>
        </is>
      </c>
      <c r="B1" s="1" t="inlineStr">
        <is>
          <t>Product_Name</t>
        </is>
      </c>
      <c r="C1" s="1" t="inlineStr">
        <is>
          <t>Category</t>
        </is>
      </c>
      <c r="D1" s="1" t="inlineStr">
        <is>
          <t>Total_Qty_6M</t>
        </is>
      </c>
      <c r="E1" s="1" t="inlineStr">
        <is>
          <t>Avg_Monthly_Qty</t>
        </is>
      </c>
      <c r="F1" s="1" t="inlineStr">
        <is>
          <t>Movement_Percentile</t>
        </is>
      </c>
      <c r="G1" s="1" t="inlineStr">
        <is>
          <t>Contribution_%</t>
        </is>
      </c>
      <c r="H1" s="1" t="inlineStr">
        <is>
          <t>Contribution_Percentile</t>
        </is>
      </c>
      <c r="I1" s="1" t="inlineStr">
        <is>
          <t>Unmoved_Score</t>
        </is>
      </c>
      <c r="J1" s="1" t="inlineStr">
        <is>
          <t>Bundle_Priority_Score</t>
        </is>
      </c>
      <c r="K1" s="1" t="inlineStr">
        <is>
          <t>Movement_Band</t>
        </is>
      </c>
      <c r="L1" s="1" t="inlineStr">
        <is>
          <t>Bundle_Value_Cluster</t>
        </is>
      </c>
      <c r="M1" s="1" t="inlineStr">
        <is>
          <t>Anchor_Eligible</t>
        </is>
      </c>
      <c r="N1" s="1" t="inlineStr">
        <is>
          <t>Candidate_Eligible</t>
        </is>
      </c>
      <c r="O1" s="1" t="inlineStr">
        <is>
          <t>Suggested_Discount_%</t>
        </is>
      </c>
      <c r="P1" s="1" t="inlineStr">
        <is>
          <t>Anchor_Key</t>
        </is>
      </c>
      <c r="Q1" s="1" t="inlineStr">
        <is>
          <t>Anchor_Name</t>
        </is>
      </c>
    </row>
    <row r="2">
      <c r="A2">
        <f>Input_Data!A2</f>
        <v/>
      </c>
      <c r="B2">
        <f>Input_Data!B2</f>
        <v/>
      </c>
      <c r="C2">
        <f>Input_Data!C2</f>
        <v/>
      </c>
      <c r="D2">
        <f>IF(A2="","",SUM(Input_Data!D2:I2))</f>
        <v/>
      </c>
      <c r="E2">
        <f>IF(D2="","",D2/6)</f>
        <v/>
      </c>
      <c r="F2" s="2">
        <f>IF(D2="","",IF(COUNTA($D$2:$D$300)&lt;=1,0,PERCENTRANK.INC($D$2:$D$300,D2)))</f>
        <v/>
      </c>
      <c r="G2" s="2">
        <f>Input_Data!J2</f>
        <v/>
      </c>
      <c r="H2" s="2">
        <f>IF(G2="","",IF(COUNTA($G$2:$G$300)&lt;=1,0,PERCENTRANK.INC($G$2:$G$300,G2)))</f>
        <v/>
      </c>
      <c r="I2" s="2">
        <f>IF(F2="","",1-F2)</f>
        <v/>
      </c>
      <c r="J2" s="2">
        <f>IF(A2="","",0.6*I2+0.4*H2)</f>
        <v/>
      </c>
      <c r="K2">
        <f>IF(F2="","",IF(F2&lt;=0.33,"Low Movement",IF(F2&lt;=0.66,"Medium Movement","High Movement")))</f>
        <v/>
      </c>
      <c r="L2">
        <f>IF(J2="","",IF(J2&gt;=0.67,"High Value Bundle",IF(J2&gt;=0.34,"Medium Value Bundle","Low Value Bundle")))</f>
        <v/>
      </c>
      <c r="M2">
        <f>IF(A2="","",IF(AND(F2&gt;=0.66,H2&gt;=0.66),"Yes","No"))</f>
        <v/>
      </c>
      <c r="N2">
        <f>IF(A2="","",IF(K2="Low Movement","Yes","No"))</f>
        <v/>
      </c>
      <c r="O2" s="2">
        <f>IF(L2="","",IF(L2="High Value Bundle",0.10,IF(L2="Medium Value Bundle",0.15,0.20)))</f>
        <v/>
      </c>
      <c r="P2">
        <f>IF(M2="Yes",C2&amp;"|anchor","")</f>
        <v/>
      </c>
      <c r="Q2">
        <f>IF(M2="Yes",B2,"")</f>
        <v/>
      </c>
    </row>
    <row r="3">
      <c r="A3">
        <f>Input_Data!A3</f>
        <v/>
      </c>
      <c r="B3">
        <f>Input_Data!B3</f>
        <v/>
      </c>
      <c r="C3">
        <f>Input_Data!C3</f>
        <v/>
      </c>
      <c r="D3">
        <f>IF(A3="","",SUM(Input_Data!D3:I3))</f>
        <v/>
      </c>
      <c r="E3">
        <f>IF(D3="","",D3/6)</f>
        <v/>
      </c>
      <c r="F3" s="2">
        <f>IF(D3="","",IF(COUNTA($D$2:$D$300)&lt;=1,0,PERCENTRANK.INC($D$2:$D$300,D3)))</f>
        <v/>
      </c>
      <c r="G3" s="2">
        <f>Input_Data!J3</f>
        <v/>
      </c>
      <c r="H3" s="2">
        <f>IF(G3="","",IF(COUNTA($G$2:$G$300)&lt;=1,0,PERCENTRANK.INC($G$2:$G$300,G3)))</f>
        <v/>
      </c>
      <c r="I3" s="2">
        <f>IF(F3="","",1-F3)</f>
        <v/>
      </c>
      <c r="J3" s="2">
        <f>IF(A3="","",0.6*I3+0.4*H3)</f>
        <v/>
      </c>
      <c r="K3">
        <f>IF(F3="","",IF(F3&lt;=0.33,"Low Movement",IF(F3&lt;=0.66,"Medium Movement","High Movement")))</f>
        <v/>
      </c>
      <c r="L3">
        <f>IF(J3="","",IF(J3&gt;=0.67,"High Value Bundle",IF(J3&gt;=0.34,"Medium Value Bundle","Low Value Bundle")))</f>
        <v/>
      </c>
      <c r="M3">
        <f>IF(A3="","",IF(AND(F3&gt;=0.66,H3&gt;=0.66),"Yes","No"))</f>
        <v/>
      </c>
      <c r="N3">
        <f>IF(A3="","",IF(K3="Low Movement","Yes","No"))</f>
        <v/>
      </c>
      <c r="O3" s="2">
        <f>IF(L3="","",IF(L3="High Value Bundle",0.10,IF(L3="Medium Value Bundle",0.15,0.20)))</f>
        <v/>
      </c>
      <c r="P3">
        <f>IF(M3="Yes",C3&amp;"|anchor","")</f>
        <v/>
      </c>
      <c r="Q3">
        <f>IF(M3="Yes",B3,"")</f>
        <v/>
      </c>
    </row>
    <row r="4">
      <c r="A4">
        <f>Input_Data!A4</f>
        <v/>
      </c>
      <c r="B4">
        <f>Input_Data!B4</f>
        <v/>
      </c>
      <c r="C4">
        <f>Input_Data!C4</f>
        <v/>
      </c>
      <c r="D4">
        <f>IF(A4="","",SUM(Input_Data!D4:I4))</f>
        <v/>
      </c>
      <c r="E4">
        <f>IF(D4="","",D4/6)</f>
        <v/>
      </c>
      <c r="F4" s="2">
        <f>IF(D4="","",IF(COUNTA($D$2:$D$300)&lt;=1,0,PERCENTRANK.INC($D$2:$D$300,D4)))</f>
        <v/>
      </c>
      <c r="G4" s="2">
        <f>Input_Data!J4</f>
        <v/>
      </c>
      <c r="H4" s="2">
        <f>IF(G4="","",IF(COUNTA($G$2:$G$300)&lt;=1,0,PERCENTRANK.INC($G$2:$G$300,G4)))</f>
        <v/>
      </c>
      <c r="I4" s="2">
        <f>IF(F4="","",1-F4)</f>
        <v/>
      </c>
      <c r="J4" s="2">
        <f>IF(A4="","",0.6*I4+0.4*H4)</f>
        <v/>
      </c>
      <c r="K4">
        <f>IF(F4="","",IF(F4&lt;=0.33,"Low Movement",IF(F4&lt;=0.66,"Medium Movement","High Movement")))</f>
        <v/>
      </c>
      <c r="L4">
        <f>IF(J4="","",IF(J4&gt;=0.67,"High Value Bundle",IF(J4&gt;=0.34,"Medium Value Bundle","Low Value Bundle")))</f>
        <v/>
      </c>
      <c r="M4">
        <f>IF(A4="","",IF(AND(F4&gt;=0.66,H4&gt;=0.66),"Yes","No"))</f>
        <v/>
      </c>
      <c r="N4">
        <f>IF(A4="","",IF(K4="Low Movement","Yes","No"))</f>
        <v/>
      </c>
      <c r="O4" s="2">
        <f>IF(L4="","",IF(L4="High Value Bundle",0.10,IF(L4="Medium Value Bundle",0.15,0.20)))</f>
        <v/>
      </c>
      <c r="P4">
        <f>IF(M4="Yes",C4&amp;"|anchor","")</f>
        <v/>
      </c>
      <c r="Q4">
        <f>IF(M4="Yes",B4,"")</f>
        <v/>
      </c>
    </row>
    <row r="5">
      <c r="A5">
        <f>Input_Data!A5</f>
        <v/>
      </c>
      <c r="B5">
        <f>Input_Data!B5</f>
        <v/>
      </c>
      <c r="C5">
        <f>Input_Data!C5</f>
        <v/>
      </c>
      <c r="D5">
        <f>IF(A5="","",SUM(Input_Data!D5:I5))</f>
        <v/>
      </c>
      <c r="E5">
        <f>IF(D5="","",D5/6)</f>
        <v/>
      </c>
      <c r="F5" s="2">
        <f>IF(D5="","",IF(COUNTA($D$2:$D$300)&lt;=1,0,PERCENTRANK.INC($D$2:$D$300,D5)))</f>
        <v/>
      </c>
      <c r="G5" s="2">
        <f>Input_Data!J5</f>
        <v/>
      </c>
      <c r="H5" s="2">
        <f>IF(G5="","",IF(COUNTA($G$2:$G$300)&lt;=1,0,PERCENTRANK.INC($G$2:$G$300,G5)))</f>
        <v/>
      </c>
      <c r="I5" s="2">
        <f>IF(F5="","",1-F5)</f>
        <v/>
      </c>
      <c r="J5" s="2">
        <f>IF(A5="","",0.6*I5+0.4*H5)</f>
        <v/>
      </c>
      <c r="K5">
        <f>IF(F5="","",IF(F5&lt;=0.33,"Low Movement",IF(F5&lt;=0.66,"Medium Movement","High Movement")))</f>
        <v/>
      </c>
      <c r="L5">
        <f>IF(J5="","",IF(J5&gt;=0.67,"High Value Bundle",IF(J5&gt;=0.34,"Medium Value Bundle","Low Value Bundle")))</f>
        <v/>
      </c>
      <c r="M5">
        <f>IF(A5="","",IF(AND(F5&gt;=0.66,H5&gt;=0.66),"Yes","No"))</f>
        <v/>
      </c>
      <c r="N5">
        <f>IF(A5="","",IF(K5="Low Movement","Yes","No"))</f>
        <v/>
      </c>
      <c r="O5" s="2">
        <f>IF(L5="","",IF(L5="High Value Bundle",0.10,IF(L5="Medium Value Bundle",0.15,0.20)))</f>
        <v/>
      </c>
      <c r="P5">
        <f>IF(M5="Yes",C5&amp;"|anchor","")</f>
        <v/>
      </c>
      <c r="Q5">
        <f>IF(M5="Yes",B5,"")</f>
        <v/>
      </c>
    </row>
    <row r="6">
      <c r="A6">
        <f>Input_Data!A6</f>
        <v/>
      </c>
      <c r="B6">
        <f>Input_Data!B6</f>
        <v/>
      </c>
      <c r="C6">
        <f>Input_Data!C6</f>
        <v/>
      </c>
      <c r="D6">
        <f>IF(A6="","",SUM(Input_Data!D6:I6))</f>
        <v/>
      </c>
      <c r="E6">
        <f>IF(D6="","",D6/6)</f>
        <v/>
      </c>
      <c r="F6" s="2">
        <f>IF(D6="","",IF(COUNTA($D$2:$D$300)&lt;=1,0,PERCENTRANK.INC($D$2:$D$300,D6)))</f>
        <v/>
      </c>
      <c r="G6" s="2">
        <f>Input_Data!J6</f>
        <v/>
      </c>
      <c r="H6" s="2">
        <f>IF(G6="","",IF(COUNTA($G$2:$G$300)&lt;=1,0,PERCENTRANK.INC($G$2:$G$300,G6)))</f>
        <v/>
      </c>
      <c r="I6" s="2">
        <f>IF(F6="","",1-F6)</f>
        <v/>
      </c>
      <c r="J6" s="2">
        <f>IF(A6="","",0.6*I6+0.4*H6)</f>
        <v/>
      </c>
      <c r="K6">
        <f>IF(F6="","",IF(F6&lt;=0.33,"Low Movement",IF(F6&lt;=0.66,"Medium Movement","High Movement")))</f>
        <v/>
      </c>
      <c r="L6">
        <f>IF(J6="","",IF(J6&gt;=0.67,"High Value Bundle",IF(J6&gt;=0.34,"Medium Value Bundle","Low Value Bundle")))</f>
        <v/>
      </c>
      <c r="M6">
        <f>IF(A6="","",IF(AND(F6&gt;=0.66,H6&gt;=0.66),"Yes","No"))</f>
        <v/>
      </c>
      <c r="N6">
        <f>IF(A6="","",IF(K6="Low Movement","Yes","No"))</f>
        <v/>
      </c>
      <c r="O6" s="2">
        <f>IF(L6="","",IF(L6="High Value Bundle",0.10,IF(L6="Medium Value Bundle",0.15,0.20)))</f>
        <v/>
      </c>
      <c r="P6">
        <f>IF(M6="Yes",C6&amp;"|anchor","")</f>
        <v/>
      </c>
      <c r="Q6">
        <f>IF(M6="Yes",B6,"")</f>
        <v/>
      </c>
    </row>
    <row r="7">
      <c r="A7">
        <f>Input_Data!A7</f>
        <v/>
      </c>
      <c r="B7">
        <f>Input_Data!B7</f>
        <v/>
      </c>
      <c r="C7">
        <f>Input_Data!C7</f>
        <v/>
      </c>
      <c r="D7">
        <f>IF(A7="","",SUM(Input_Data!D7:I7))</f>
        <v/>
      </c>
      <c r="E7">
        <f>IF(D7="","",D7/6)</f>
        <v/>
      </c>
      <c r="F7" s="2">
        <f>IF(D7="","",IF(COUNTA($D$2:$D$300)&lt;=1,0,PERCENTRANK.INC($D$2:$D$300,D7)))</f>
        <v/>
      </c>
      <c r="G7" s="2">
        <f>Input_Data!J7</f>
        <v/>
      </c>
      <c r="H7" s="2">
        <f>IF(G7="","",IF(COUNTA($G$2:$G$300)&lt;=1,0,PERCENTRANK.INC($G$2:$G$300,G7)))</f>
        <v/>
      </c>
      <c r="I7" s="2">
        <f>IF(F7="","",1-F7)</f>
        <v/>
      </c>
      <c r="J7" s="2">
        <f>IF(A7="","",0.6*I7+0.4*H7)</f>
        <v/>
      </c>
      <c r="K7">
        <f>IF(F7="","",IF(F7&lt;=0.33,"Low Movement",IF(F7&lt;=0.66,"Medium Movement","High Movement")))</f>
        <v/>
      </c>
      <c r="L7">
        <f>IF(J7="","",IF(J7&gt;=0.67,"High Value Bundle",IF(J7&gt;=0.34,"Medium Value Bundle","Low Value Bundle")))</f>
        <v/>
      </c>
      <c r="M7">
        <f>IF(A7="","",IF(AND(F7&gt;=0.66,H7&gt;=0.66),"Yes","No"))</f>
        <v/>
      </c>
      <c r="N7">
        <f>IF(A7="","",IF(K7="Low Movement","Yes","No"))</f>
        <v/>
      </c>
      <c r="O7" s="2">
        <f>IF(L7="","",IF(L7="High Value Bundle",0.10,IF(L7="Medium Value Bundle",0.15,0.20)))</f>
        <v/>
      </c>
      <c r="P7">
        <f>IF(M7="Yes",C7&amp;"|anchor","")</f>
        <v/>
      </c>
      <c r="Q7">
        <f>IF(M7="Yes",B7,"")</f>
        <v/>
      </c>
    </row>
    <row r="8">
      <c r="A8">
        <f>Input_Data!A8</f>
        <v/>
      </c>
      <c r="B8">
        <f>Input_Data!B8</f>
        <v/>
      </c>
      <c r="C8">
        <f>Input_Data!C8</f>
        <v/>
      </c>
      <c r="D8">
        <f>IF(A8="","",SUM(Input_Data!D8:I8))</f>
        <v/>
      </c>
      <c r="E8">
        <f>IF(D8="","",D8/6)</f>
        <v/>
      </c>
      <c r="F8" s="2">
        <f>IF(D8="","",IF(COUNTA($D$2:$D$300)&lt;=1,0,PERCENTRANK.INC($D$2:$D$300,D8)))</f>
        <v/>
      </c>
      <c r="G8" s="2">
        <f>Input_Data!J8</f>
        <v/>
      </c>
      <c r="H8" s="2">
        <f>IF(G8="","",IF(COUNTA($G$2:$G$300)&lt;=1,0,PERCENTRANK.INC($G$2:$G$300,G8)))</f>
        <v/>
      </c>
      <c r="I8" s="2">
        <f>IF(F8="","",1-F8)</f>
        <v/>
      </c>
      <c r="J8" s="2">
        <f>IF(A8="","",0.6*I8+0.4*H8)</f>
        <v/>
      </c>
      <c r="K8">
        <f>IF(F8="","",IF(F8&lt;=0.33,"Low Movement",IF(F8&lt;=0.66,"Medium Movement","High Movement")))</f>
        <v/>
      </c>
      <c r="L8">
        <f>IF(J8="","",IF(J8&gt;=0.67,"High Value Bundle",IF(J8&gt;=0.34,"Medium Value Bundle","Low Value Bundle")))</f>
        <v/>
      </c>
      <c r="M8">
        <f>IF(A8="","",IF(AND(F8&gt;=0.66,H8&gt;=0.66),"Yes","No"))</f>
        <v/>
      </c>
      <c r="N8">
        <f>IF(A8="","",IF(K8="Low Movement","Yes","No"))</f>
        <v/>
      </c>
      <c r="O8" s="2">
        <f>IF(L8="","",IF(L8="High Value Bundle",0.10,IF(L8="Medium Value Bundle",0.15,0.20)))</f>
        <v/>
      </c>
      <c r="P8">
        <f>IF(M8="Yes",C8&amp;"|anchor","")</f>
        <v/>
      </c>
      <c r="Q8">
        <f>IF(M8="Yes",B8,"")</f>
        <v/>
      </c>
    </row>
    <row r="9">
      <c r="A9">
        <f>Input_Data!A9</f>
        <v/>
      </c>
      <c r="B9">
        <f>Input_Data!B9</f>
        <v/>
      </c>
      <c r="C9">
        <f>Input_Data!C9</f>
        <v/>
      </c>
      <c r="D9">
        <f>IF(A9="","",SUM(Input_Data!D9:I9))</f>
        <v/>
      </c>
      <c r="E9">
        <f>IF(D9="","",D9/6)</f>
        <v/>
      </c>
      <c r="F9" s="2">
        <f>IF(D9="","",IF(COUNTA($D$2:$D$300)&lt;=1,0,PERCENTRANK.INC($D$2:$D$300,D9)))</f>
        <v/>
      </c>
      <c r="G9" s="2">
        <f>Input_Data!J9</f>
        <v/>
      </c>
      <c r="H9" s="2">
        <f>IF(G9="","",IF(COUNTA($G$2:$G$300)&lt;=1,0,PERCENTRANK.INC($G$2:$G$300,G9)))</f>
        <v/>
      </c>
      <c r="I9" s="2">
        <f>IF(F9="","",1-F9)</f>
        <v/>
      </c>
      <c r="J9" s="2">
        <f>IF(A9="","",0.6*I9+0.4*H9)</f>
        <v/>
      </c>
      <c r="K9">
        <f>IF(F9="","",IF(F9&lt;=0.33,"Low Movement",IF(F9&lt;=0.66,"Medium Movement","High Movement")))</f>
        <v/>
      </c>
      <c r="L9">
        <f>IF(J9="","",IF(J9&gt;=0.67,"High Value Bundle",IF(J9&gt;=0.34,"Medium Value Bundle","Low Value Bundle")))</f>
        <v/>
      </c>
      <c r="M9">
        <f>IF(A9="","",IF(AND(F9&gt;=0.66,H9&gt;=0.66),"Yes","No"))</f>
        <v/>
      </c>
      <c r="N9">
        <f>IF(A9="","",IF(K9="Low Movement","Yes","No"))</f>
        <v/>
      </c>
      <c r="O9" s="2">
        <f>IF(L9="","",IF(L9="High Value Bundle",0.10,IF(L9="Medium Value Bundle",0.15,0.20)))</f>
        <v/>
      </c>
      <c r="P9">
        <f>IF(M9="Yes",C9&amp;"|anchor","")</f>
        <v/>
      </c>
      <c r="Q9">
        <f>IF(M9="Yes",B9,"")</f>
        <v/>
      </c>
    </row>
    <row r="10">
      <c r="A10">
        <f>Input_Data!A10</f>
        <v/>
      </c>
      <c r="B10">
        <f>Input_Data!B10</f>
        <v/>
      </c>
      <c r="C10">
        <f>Input_Data!C10</f>
        <v/>
      </c>
      <c r="D10">
        <f>IF(A10="","",SUM(Input_Data!D10:I10))</f>
        <v/>
      </c>
      <c r="E10">
        <f>IF(D10="","",D10/6)</f>
        <v/>
      </c>
      <c r="F10" s="2">
        <f>IF(D10="","",IF(COUNTA($D$2:$D$300)&lt;=1,0,PERCENTRANK.INC($D$2:$D$300,D10)))</f>
        <v/>
      </c>
      <c r="G10" s="2">
        <f>Input_Data!J10</f>
        <v/>
      </c>
      <c r="H10" s="2">
        <f>IF(G10="","",IF(COUNTA($G$2:$G$300)&lt;=1,0,PERCENTRANK.INC($G$2:$G$300,G10)))</f>
        <v/>
      </c>
      <c r="I10" s="2">
        <f>IF(F10="","",1-F10)</f>
        <v/>
      </c>
      <c r="J10" s="2">
        <f>IF(A10="","",0.6*I10+0.4*H10)</f>
        <v/>
      </c>
      <c r="K10">
        <f>IF(F10="","",IF(F10&lt;=0.33,"Low Movement",IF(F10&lt;=0.66,"Medium Movement","High Movement")))</f>
        <v/>
      </c>
      <c r="L10">
        <f>IF(J10="","",IF(J10&gt;=0.67,"High Value Bundle",IF(J10&gt;=0.34,"Medium Value Bundle","Low Value Bundle")))</f>
        <v/>
      </c>
      <c r="M10">
        <f>IF(A10="","",IF(AND(F10&gt;=0.66,H10&gt;=0.66),"Yes","No"))</f>
        <v/>
      </c>
      <c r="N10">
        <f>IF(A10="","",IF(K10="Low Movement","Yes","No"))</f>
        <v/>
      </c>
      <c r="O10" s="2">
        <f>IF(L10="","",IF(L10="High Value Bundle",0.10,IF(L10="Medium Value Bundle",0.15,0.20)))</f>
        <v/>
      </c>
      <c r="P10">
        <f>IF(M10="Yes",C10&amp;"|anchor","")</f>
        <v/>
      </c>
      <c r="Q10">
        <f>IF(M10="Yes",B10,"")</f>
        <v/>
      </c>
    </row>
    <row r="11">
      <c r="A11">
        <f>Input_Data!A11</f>
        <v/>
      </c>
      <c r="B11">
        <f>Input_Data!B11</f>
        <v/>
      </c>
      <c r="C11">
        <f>Input_Data!C11</f>
        <v/>
      </c>
      <c r="D11">
        <f>IF(A11="","",SUM(Input_Data!D11:I11))</f>
        <v/>
      </c>
      <c r="E11">
        <f>IF(D11="","",D11/6)</f>
        <v/>
      </c>
      <c r="F11" s="2">
        <f>IF(D11="","",IF(COUNTA($D$2:$D$300)&lt;=1,0,PERCENTRANK.INC($D$2:$D$300,D11)))</f>
        <v/>
      </c>
      <c r="G11" s="2">
        <f>Input_Data!J11</f>
        <v/>
      </c>
      <c r="H11" s="2">
        <f>IF(G11="","",IF(COUNTA($G$2:$G$300)&lt;=1,0,PERCENTRANK.INC($G$2:$G$300,G11)))</f>
        <v/>
      </c>
      <c r="I11" s="2">
        <f>IF(F11="","",1-F11)</f>
        <v/>
      </c>
      <c r="J11" s="2">
        <f>IF(A11="","",0.6*I11+0.4*H11)</f>
        <v/>
      </c>
      <c r="K11">
        <f>IF(F11="","",IF(F11&lt;=0.33,"Low Movement",IF(F11&lt;=0.66,"Medium Movement","High Movement")))</f>
        <v/>
      </c>
      <c r="L11">
        <f>IF(J11="","",IF(J11&gt;=0.67,"High Value Bundle",IF(J11&gt;=0.34,"Medium Value Bundle","Low Value Bundle")))</f>
        <v/>
      </c>
      <c r="M11">
        <f>IF(A11="","",IF(AND(F11&gt;=0.66,H11&gt;=0.66),"Yes","No"))</f>
        <v/>
      </c>
      <c r="N11">
        <f>IF(A11="","",IF(K11="Low Movement","Yes","No"))</f>
        <v/>
      </c>
      <c r="O11" s="2">
        <f>IF(L11="","",IF(L11="High Value Bundle",0.10,IF(L11="Medium Value Bundle",0.15,0.20)))</f>
        <v/>
      </c>
      <c r="P11">
        <f>IF(M11="Yes",C11&amp;"|anchor","")</f>
        <v/>
      </c>
      <c r="Q11">
        <f>IF(M11="Yes",B11,"")</f>
        <v/>
      </c>
    </row>
    <row r="12">
      <c r="A12">
        <f>Input_Data!A12</f>
        <v/>
      </c>
      <c r="B12">
        <f>Input_Data!B12</f>
        <v/>
      </c>
      <c r="C12">
        <f>Input_Data!C12</f>
        <v/>
      </c>
      <c r="D12">
        <f>IF(A12="","",SUM(Input_Data!D12:I12))</f>
        <v/>
      </c>
      <c r="E12">
        <f>IF(D12="","",D12/6)</f>
        <v/>
      </c>
      <c r="F12" s="2">
        <f>IF(D12="","",IF(COUNTA($D$2:$D$300)&lt;=1,0,PERCENTRANK.INC($D$2:$D$300,D12)))</f>
        <v/>
      </c>
      <c r="G12" s="2">
        <f>Input_Data!J12</f>
        <v/>
      </c>
      <c r="H12" s="2">
        <f>IF(G12="","",IF(COUNTA($G$2:$G$300)&lt;=1,0,PERCENTRANK.INC($G$2:$G$300,G12)))</f>
        <v/>
      </c>
      <c r="I12" s="2">
        <f>IF(F12="","",1-F12)</f>
        <v/>
      </c>
      <c r="J12" s="2">
        <f>IF(A12="","",0.6*I12+0.4*H12)</f>
        <v/>
      </c>
      <c r="K12">
        <f>IF(F12="","",IF(F12&lt;=0.33,"Low Movement",IF(F12&lt;=0.66,"Medium Movement","High Movement")))</f>
        <v/>
      </c>
      <c r="L12">
        <f>IF(J12="","",IF(J12&gt;=0.67,"High Value Bundle",IF(J12&gt;=0.34,"Medium Value Bundle","Low Value Bundle")))</f>
        <v/>
      </c>
      <c r="M12">
        <f>IF(A12="","",IF(AND(F12&gt;=0.66,H12&gt;=0.66),"Yes","No"))</f>
        <v/>
      </c>
      <c r="N12">
        <f>IF(A12="","",IF(K12="Low Movement","Yes","No"))</f>
        <v/>
      </c>
      <c r="O12" s="2">
        <f>IF(L12="","",IF(L12="High Value Bundle",0.10,IF(L12="Medium Value Bundle",0.15,0.20)))</f>
        <v/>
      </c>
      <c r="P12">
        <f>IF(M12="Yes",C12&amp;"|anchor","")</f>
        <v/>
      </c>
      <c r="Q12">
        <f>IF(M12="Yes",B12,"")</f>
        <v/>
      </c>
    </row>
    <row r="13">
      <c r="A13">
        <f>Input_Data!A13</f>
        <v/>
      </c>
      <c r="B13">
        <f>Input_Data!B13</f>
        <v/>
      </c>
      <c r="C13">
        <f>Input_Data!C13</f>
        <v/>
      </c>
      <c r="D13">
        <f>IF(A13="","",SUM(Input_Data!D13:I13))</f>
        <v/>
      </c>
      <c r="E13">
        <f>IF(D13="","",D13/6)</f>
        <v/>
      </c>
      <c r="F13" s="2">
        <f>IF(D13="","",IF(COUNTA($D$2:$D$300)&lt;=1,0,PERCENTRANK.INC($D$2:$D$300,D13)))</f>
        <v/>
      </c>
      <c r="G13" s="2">
        <f>Input_Data!J13</f>
        <v/>
      </c>
      <c r="H13" s="2">
        <f>IF(G13="","",IF(COUNTA($G$2:$G$300)&lt;=1,0,PERCENTRANK.INC($G$2:$G$300,G13)))</f>
        <v/>
      </c>
      <c r="I13" s="2">
        <f>IF(F13="","",1-F13)</f>
        <v/>
      </c>
      <c r="J13" s="2">
        <f>IF(A13="","",0.6*I13+0.4*H13)</f>
        <v/>
      </c>
      <c r="K13">
        <f>IF(F13="","",IF(F13&lt;=0.33,"Low Movement",IF(F13&lt;=0.66,"Medium Movement","High Movement")))</f>
        <v/>
      </c>
      <c r="L13">
        <f>IF(J13="","",IF(J13&gt;=0.67,"High Value Bundle",IF(J13&gt;=0.34,"Medium Value Bundle","Low Value Bundle")))</f>
        <v/>
      </c>
      <c r="M13">
        <f>IF(A13="","",IF(AND(F13&gt;=0.66,H13&gt;=0.66),"Yes","No"))</f>
        <v/>
      </c>
      <c r="N13">
        <f>IF(A13="","",IF(K13="Low Movement","Yes","No"))</f>
        <v/>
      </c>
      <c r="O13" s="2">
        <f>IF(L13="","",IF(L13="High Value Bundle",0.10,IF(L13="Medium Value Bundle",0.15,0.20)))</f>
        <v/>
      </c>
      <c r="P13">
        <f>IF(M13="Yes",C13&amp;"|anchor","")</f>
        <v/>
      </c>
      <c r="Q13">
        <f>IF(M13="Yes",B13,"")</f>
        <v/>
      </c>
    </row>
    <row r="14">
      <c r="A14">
        <f>Input_Data!A14</f>
        <v/>
      </c>
      <c r="B14">
        <f>Input_Data!B14</f>
        <v/>
      </c>
      <c r="C14">
        <f>Input_Data!C14</f>
        <v/>
      </c>
      <c r="D14">
        <f>IF(A14="","",SUM(Input_Data!D14:I14))</f>
        <v/>
      </c>
      <c r="E14">
        <f>IF(D14="","",D14/6)</f>
        <v/>
      </c>
      <c r="F14" s="2">
        <f>IF(D14="","",IF(COUNTA($D$2:$D$300)&lt;=1,0,PERCENTRANK.INC($D$2:$D$300,D14)))</f>
        <v/>
      </c>
      <c r="G14" s="2">
        <f>Input_Data!J14</f>
        <v/>
      </c>
      <c r="H14" s="2">
        <f>IF(G14="","",IF(COUNTA($G$2:$G$300)&lt;=1,0,PERCENTRANK.INC($G$2:$G$300,G14)))</f>
        <v/>
      </c>
      <c r="I14" s="2">
        <f>IF(F14="","",1-F14)</f>
        <v/>
      </c>
      <c r="J14" s="2">
        <f>IF(A14="","",0.6*I14+0.4*H14)</f>
        <v/>
      </c>
      <c r="K14">
        <f>IF(F14="","",IF(F14&lt;=0.33,"Low Movement",IF(F14&lt;=0.66,"Medium Movement","High Movement")))</f>
        <v/>
      </c>
      <c r="L14">
        <f>IF(J14="","",IF(J14&gt;=0.67,"High Value Bundle",IF(J14&gt;=0.34,"Medium Value Bundle","Low Value Bundle")))</f>
        <v/>
      </c>
      <c r="M14">
        <f>IF(A14="","",IF(AND(F14&gt;=0.66,H14&gt;=0.66),"Yes","No"))</f>
        <v/>
      </c>
      <c r="N14">
        <f>IF(A14="","",IF(K14="Low Movement","Yes","No"))</f>
        <v/>
      </c>
      <c r="O14" s="2">
        <f>IF(L14="","",IF(L14="High Value Bundle",0.10,IF(L14="Medium Value Bundle",0.15,0.20)))</f>
        <v/>
      </c>
      <c r="P14">
        <f>IF(M14="Yes",C14&amp;"|anchor","")</f>
        <v/>
      </c>
      <c r="Q14">
        <f>IF(M14="Yes",B14,"")</f>
        <v/>
      </c>
    </row>
    <row r="15">
      <c r="A15">
        <f>Input_Data!A15</f>
        <v/>
      </c>
      <c r="B15">
        <f>Input_Data!B15</f>
        <v/>
      </c>
      <c r="C15">
        <f>Input_Data!C15</f>
        <v/>
      </c>
      <c r="D15">
        <f>IF(A15="","",SUM(Input_Data!D15:I15))</f>
        <v/>
      </c>
      <c r="E15">
        <f>IF(D15="","",D15/6)</f>
        <v/>
      </c>
      <c r="F15" s="2">
        <f>IF(D15="","",IF(COUNTA($D$2:$D$300)&lt;=1,0,PERCENTRANK.INC($D$2:$D$300,D15)))</f>
        <v/>
      </c>
      <c r="G15" s="2">
        <f>Input_Data!J15</f>
        <v/>
      </c>
      <c r="H15" s="2">
        <f>IF(G15="","",IF(COUNTA($G$2:$G$300)&lt;=1,0,PERCENTRANK.INC($G$2:$G$300,G15)))</f>
        <v/>
      </c>
      <c r="I15" s="2">
        <f>IF(F15="","",1-F15)</f>
        <v/>
      </c>
      <c r="J15" s="2">
        <f>IF(A15="","",0.6*I15+0.4*H15)</f>
        <v/>
      </c>
      <c r="K15">
        <f>IF(F15="","",IF(F15&lt;=0.33,"Low Movement",IF(F15&lt;=0.66,"Medium Movement","High Movement")))</f>
        <v/>
      </c>
      <c r="L15">
        <f>IF(J15="","",IF(J15&gt;=0.67,"High Value Bundle",IF(J15&gt;=0.34,"Medium Value Bundle","Low Value Bundle")))</f>
        <v/>
      </c>
      <c r="M15">
        <f>IF(A15="","",IF(AND(F15&gt;=0.66,H15&gt;=0.66),"Yes","No"))</f>
        <v/>
      </c>
      <c r="N15">
        <f>IF(A15="","",IF(K15="Low Movement","Yes","No"))</f>
        <v/>
      </c>
      <c r="O15" s="2">
        <f>IF(L15="","",IF(L15="High Value Bundle",0.10,IF(L15="Medium Value Bundle",0.15,0.20)))</f>
        <v/>
      </c>
      <c r="P15">
        <f>IF(M15="Yes",C15&amp;"|anchor","")</f>
        <v/>
      </c>
      <c r="Q15">
        <f>IF(M15="Yes",B15,"")</f>
        <v/>
      </c>
    </row>
    <row r="16">
      <c r="A16">
        <f>Input_Data!A16</f>
        <v/>
      </c>
      <c r="B16">
        <f>Input_Data!B16</f>
        <v/>
      </c>
      <c r="C16">
        <f>Input_Data!C16</f>
        <v/>
      </c>
      <c r="D16">
        <f>IF(A16="","",SUM(Input_Data!D16:I16))</f>
        <v/>
      </c>
      <c r="E16">
        <f>IF(D16="","",D16/6)</f>
        <v/>
      </c>
      <c r="F16" s="2">
        <f>IF(D16="","",IF(COUNTA($D$2:$D$300)&lt;=1,0,PERCENTRANK.INC($D$2:$D$300,D16)))</f>
        <v/>
      </c>
      <c r="G16" s="2">
        <f>Input_Data!J16</f>
        <v/>
      </c>
      <c r="H16" s="2">
        <f>IF(G16="","",IF(COUNTA($G$2:$G$300)&lt;=1,0,PERCENTRANK.INC($G$2:$G$300,G16)))</f>
        <v/>
      </c>
      <c r="I16" s="2">
        <f>IF(F16="","",1-F16)</f>
        <v/>
      </c>
      <c r="J16" s="2">
        <f>IF(A16="","",0.6*I16+0.4*H16)</f>
        <v/>
      </c>
      <c r="K16">
        <f>IF(F16="","",IF(F16&lt;=0.33,"Low Movement",IF(F16&lt;=0.66,"Medium Movement","High Movement")))</f>
        <v/>
      </c>
      <c r="L16">
        <f>IF(J16="","",IF(J16&gt;=0.67,"High Value Bundle",IF(J16&gt;=0.34,"Medium Value Bundle","Low Value Bundle")))</f>
        <v/>
      </c>
      <c r="M16">
        <f>IF(A16="","",IF(AND(F16&gt;=0.66,H16&gt;=0.66),"Yes","No"))</f>
        <v/>
      </c>
      <c r="N16">
        <f>IF(A16="","",IF(K16="Low Movement","Yes","No"))</f>
        <v/>
      </c>
      <c r="O16" s="2">
        <f>IF(L16="","",IF(L16="High Value Bundle",0.10,IF(L16="Medium Value Bundle",0.15,0.20)))</f>
        <v/>
      </c>
      <c r="P16">
        <f>IF(M16="Yes",C16&amp;"|anchor","")</f>
        <v/>
      </c>
      <c r="Q16">
        <f>IF(M16="Yes",B16,"")</f>
        <v/>
      </c>
    </row>
    <row r="17">
      <c r="A17">
        <f>Input_Data!A17</f>
        <v/>
      </c>
      <c r="B17">
        <f>Input_Data!B17</f>
        <v/>
      </c>
      <c r="C17">
        <f>Input_Data!C17</f>
        <v/>
      </c>
      <c r="D17">
        <f>IF(A17="","",SUM(Input_Data!D17:I17))</f>
        <v/>
      </c>
      <c r="E17">
        <f>IF(D17="","",D17/6)</f>
        <v/>
      </c>
      <c r="F17" s="2">
        <f>IF(D17="","",IF(COUNTA($D$2:$D$300)&lt;=1,0,PERCENTRANK.INC($D$2:$D$300,D17)))</f>
        <v/>
      </c>
      <c r="G17" s="2">
        <f>Input_Data!J17</f>
        <v/>
      </c>
      <c r="H17" s="2">
        <f>IF(G17="","",IF(COUNTA($G$2:$G$300)&lt;=1,0,PERCENTRANK.INC($G$2:$G$300,G17)))</f>
        <v/>
      </c>
      <c r="I17" s="2">
        <f>IF(F17="","",1-F17)</f>
        <v/>
      </c>
      <c r="J17" s="2">
        <f>IF(A17="","",0.6*I17+0.4*H17)</f>
        <v/>
      </c>
      <c r="K17">
        <f>IF(F17="","",IF(F17&lt;=0.33,"Low Movement",IF(F17&lt;=0.66,"Medium Movement","High Movement")))</f>
        <v/>
      </c>
      <c r="L17">
        <f>IF(J17="","",IF(J17&gt;=0.67,"High Value Bundle",IF(J17&gt;=0.34,"Medium Value Bundle","Low Value Bundle")))</f>
        <v/>
      </c>
      <c r="M17">
        <f>IF(A17="","",IF(AND(F17&gt;=0.66,H17&gt;=0.66),"Yes","No"))</f>
        <v/>
      </c>
      <c r="N17">
        <f>IF(A17="","",IF(K17="Low Movement","Yes","No"))</f>
        <v/>
      </c>
      <c r="O17" s="2">
        <f>IF(L17="","",IF(L17="High Value Bundle",0.10,IF(L17="Medium Value Bundle",0.15,0.20)))</f>
        <v/>
      </c>
      <c r="P17">
        <f>IF(M17="Yes",C17&amp;"|anchor","")</f>
        <v/>
      </c>
      <c r="Q17">
        <f>IF(M17="Yes",B17,"")</f>
        <v/>
      </c>
    </row>
    <row r="18">
      <c r="A18">
        <f>Input_Data!A18</f>
        <v/>
      </c>
      <c r="B18">
        <f>Input_Data!B18</f>
        <v/>
      </c>
      <c r="C18">
        <f>Input_Data!C18</f>
        <v/>
      </c>
      <c r="D18">
        <f>IF(A18="","",SUM(Input_Data!D18:I18))</f>
        <v/>
      </c>
      <c r="E18">
        <f>IF(D18="","",D18/6)</f>
        <v/>
      </c>
      <c r="F18" s="2">
        <f>IF(D18="","",IF(COUNTA($D$2:$D$300)&lt;=1,0,PERCENTRANK.INC($D$2:$D$300,D18)))</f>
        <v/>
      </c>
      <c r="G18" s="2">
        <f>Input_Data!J18</f>
        <v/>
      </c>
      <c r="H18" s="2">
        <f>IF(G18="","",IF(COUNTA($G$2:$G$300)&lt;=1,0,PERCENTRANK.INC($G$2:$G$300,G18)))</f>
        <v/>
      </c>
      <c r="I18" s="2">
        <f>IF(F18="","",1-F18)</f>
        <v/>
      </c>
      <c r="J18" s="2">
        <f>IF(A18="","",0.6*I18+0.4*H18)</f>
        <v/>
      </c>
      <c r="K18">
        <f>IF(F18="","",IF(F18&lt;=0.33,"Low Movement",IF(F18&lt;=0.66,"Medium Movement","High Movement")))</f>
        <v/>
      </c>
      <c r="L18">
        <f>IF(J18="","",IF(J18&gt;=0.67,"High Value Bundle",IF(J18&gt;=0.34,"Medium Value Bundle","Low Value Bundle")))</f>
        <v/>
      </c>
      <c r="M18">
        <f>IF(A18="","",IF(AND(F18&gt;=0.66,H18&gt;=0.66),"Yes","No"))</f>
        <v/>
      </c>
      <c r="N18">
        <f>IF(A18="","",IF(K18="Low Movement","Yes","No"))</f>
        <v/>
      </c>
      <c r="O18" s="2">
        <f>IF(L18="","",IF(L18="High Value Bundle",0.10,IF(L18="Medium Value Bundle",0.15,0.20)))</f>
        <v/>
      </c>
      <c r="P18">
        <f>IF(M18="Yes",C18&amp;"|anchor","")</f>
        <v/>
      </c>
      <c r="Q18">
        <f>IF(M18="Yes",B18,"")</f>
        <v/>
      </c>
    </row>
    <row r="19">
      <c r="A19">
        <f>Input_Data!A19</f>
        <v/>
      </c>
      <c r="B19">
        <f>Input_Data!B19</f>
        <v/>
      </c>
      <c r="C19">
        <f>Input_Data!C19</f>
        <v/>
      </c>
      <c r="D19">
        <f>IF(A19="","",SUM(Input_Data!D19:I19))</f>
        <v/>
      </c>
      <c r="E19">
        <f>IF(D19="","",D19/6)</f>
        <v/>
      </c>
      <c r="F19" s="2">
        <f>IF(D19="","",IF(COUNTA($D$2:$D$300)&lt;=1,0,PERCENTRANK.INC($D$2:$D$300,D19)))</f>
        <v/>
      </c>
      <c r="G19" s="2">
        <f>Input_Data!J19</f>
        <v/>
      </c>
      <c r="H19" s="2">
        <f>IF(G19="","",IF(COUNTA($G$2:$G$300)&lt;=1,0,PERCENTRANK.INC($G$2:$G$300,G19)))</f>
        <v/>
      </c>
      <c r="I19" s="2">
        <f>IF(F19="","",1-F19)</f>
        <v/>
      </c>
      <c r="J19" s="2">
        <f>IF(A19="","",0.6*I19+0.4*H19)</f>
        <v/>
      </c>
      <c r="K19">
        <f>IF(F19="","",IF(F19&lt;=0.33,"Low Movement",IF(F19&lt;=0.66,"Medium Movement","High Movement")))</f>
        <v/>
      </c>
      <c r="L19">
        <f>IF(J19="","",IF(J19&gt;=0.67,"High Value Bundle",IF(J19&gt;=0.34,"Medium Value Bundle","Low Value Bundle")))</f>
        <v/>
      </c>
      <c r="M19">
        <f>IF(A19="","",IF(AND(F19&gt;=0.66,H19&gt;=0.66),"Yes","No"))</f>
        <v/>
      </c>
      <c r="N19">
        <f>IF(A19="","",IF(K19="Low Movement","Yes","No"))</f>
        <v/>
      </c>
      <c r="O19" s="2">
        <f>IF(L19="","",IF(L19="High Value Bundle",0.10,IF(L19="Medium Value Bundle",0.15,0.20)))</f>
        <v/>
      </c>
      <c r="P19">
        <f>IF(M19="Yes",C19&amp;"|anchor","")</f>
        <v/>
      </c>
      <c r="Q19">
        <f>IF(M19="Yes",B19,"")</f>
        <v/>
      </c>
    </row>
    <row r="20">
      <c r="A20">
        <f>Input_Data!A20</f>
        <v/>
      </c>
      <c r="B20">
        <f>Input_Data!B20</f>
        <v/>
      </c>
      <c r="C20">
        <f>Input_Data!C20</f>
        <v/>
      </c>
      <c r="D20">
        <f>IF(A20="","",SUM(Input_Data!D20:I20))</f>
        <v/>
      </c>
      <c r="E20">
        <f>IF(D20="","",D20/6)</f>
        <v/>
      </c>
      <c r="F20" s="2">
        <f>IF(D20="","",IF(COUNTA($D$2:$D$300)&lt;=1,0,PERCENTRANK.INC($D$2:$D$300,D20)))</f>
        <v/>
      </c>
      <c r="G20" s="2">
        <f>Input_Data!J20</f>
        <v/>
      </c>
      <c r="H20" s="2">
        <f>IF(G20="","",IF(COUNTA($G$2:$G$300)&lt;=1,0,PERCENTRANK.INC($G$2:$G$300,G20)))</f>
        <v/>
      </c>
      <c r="I20" s="2">
        <f>IF(F20="","",1-F20)</f>
        <v/>
      </c>
      <c r="J20" s="2">
        <f>IF(A20="","",0.6*I20+0.4*H20)</f>
        <v/>
      </c>
      <c r="K20">
        <f>IF(F20="","",IF(F20&lt;=0.33,"Low Movement",IF(F20&lt;=0.66,"Medium Movement","High Movement")))</f>
        <v/>
      </c>
      <c r="L20">
        <f>IF(J20="","",IF(J20&gt;=0.67,"High Value Bundle",IF(J20&gt;=0.34,"Medium Value Bundle","Low Value Bundle")))</f>
        <v/>
      </c>
      <c r="M20">
        <f>IF(A20="","",IF(AND(F20&gt;=0.66,H20&gt;=0.66),"Yes","No"))</f>
        <v/>
      </c>
      <c r="N20">
        <f>IF(A20="","",IF(K20="Low Movement","Yes","No"))</f>
        <v/>
      </c>
      <c r="O20" s="2">
        <f>IF(L20="","",IF(L20="High Value Bundle",0.10,IF(L20="Medium Value Bundle",0.15,0.20)))</f>
        <v/>
      </c>
      <c r="P20">
        <f>IF(M20="Yes",C20&amp;"|anchor","")</f>
        <v/>
      </c>
      <c r="Q20">
        <f>IF(M20="Yes",B20,"")</f>
        <v/>
      </c>
    </row>
    <row r="21">
      <c r="A21">
        <f>Input_Data!A21</f>
        <v/>
      </c>
      <c r="B21">
        <f>Input_Data!B21</f>
        <v/>
      </c>
      <c r="C21">
        <f>Input_Data!C21</f>
        <v/>
      </c>
      <c r="D21">
        <f>IF(A21="","",SUM(Input_Data!D21:I21))</f>
        <v/>
      </c>
      <c r="E21">
        <f>IF(D21="","",D21/6)</f>
        <v/>
      </c>
      <c r="F21" s="2">
        <f>IF(D21="","",IF(COUNTA($D$2:$D$300)&lt;=1,0,PERCENTRANK.INC($D$2:$D$300,D21)))</f>
        <v/>
      </c>
      <c r="G21" s="2">
        <f>Input_Data!J21</f>
        <v/>
      </c>
      <c r="H21" s="2">
        <f>IF(G21="","",IF(COUNTA($G$2:$G$300)&lt;=1,0,PERCENTRANK.INC($G$2:$G$300,G21)))</f>
        <v/>
      </c>
      <c r="I21" s="2">
        <f>IF(F21="","",1-F21)</f>
        <v/>
      </c>
      <c r="J21" s="2">
        <f>IF(A21="","",0.6*I21+0.4*H21)</f>
        <v/>
      </c>
      <c r="K21">
        <f>IF(F21="","",IF(F21&lt;=0.33,"Low Movement",IF(F21&lt;=0.66,"Medium Movement","High Movement")))</f>
        <v/>
      </c>
      <c r="L21">
        <f>IF(J21="","",IF(J21&gt;=0.67,"High Value Bundle",IF(J21&gt;=0.34,"Medium Value Bundle","Low Value Bundle")))</f>
        <v/>
      </c>
      <c r="M21">
        <f>IF(A21="","",IF(AND(F21&gt;=0.66,H21&gt;=0.66),"Yes","No"))</f>
        <v/>
      </c>
      <c r="N21">
        <f>IF(A21="","",IF(K21="Low Movement","Yes","No"))</f>
        <v/>
      </c>
      <c r="O21" s="2">
        <f>IF(L21="","",IF(L21="High Value Bundle",0.10,IF(L21="Medium Value Bundle",0.15,0.20)))</f>
        <v/>
      </c>
      <c r="P21">
        <f>IF(M21="Yes",C21&amp;"|anchor","")</f>
        <v/>
      </c>
      <c r="Q21">
        <f>IF(M21="Yes",B21,"")</f>
        <v/>
      </c>
    </row>
    <row r="22">
      <c r="A22">
        <f>Input_Data!A22</f>
        <v/>
      </c>
      <c r="B22">
        <f>Input_Data!B22</f>
        <v/>
      </c>
      <c r="C22">
        <f>Input_Data!C22</f>
        <v/>
      </c>
      <c r="D22">
        <f>IF(A22="","",SUM(Input_Data!D22:I22))</f>
        <v/>
      </c>
      <c r="E22">
        <f>IF(D22="","",D22/6)</f>
        <v/>
      </c>
      <c r="F22" s="2">
        <f>IF(D22="","",IF(COUNTA($D$2:$D$300)&lt;=1,0,PERCENTRANK.INC($D$2:$D$300,D22)))</f>
        <v/>
      </c>
      <c r="G22" s="2">
        <f>Input_Data!J22</f>
        <v/>
      </c>
      <c r="H22" s="2">
        <f>IF(G22="","",IF(COUNTA($G$2:$G$300)&lt;=1,0,PERCENTRANK.INC($G$2:$G$300,G22)))</f>
        <v/>
      </c>
      <c r="I22" s="2">
        <f>IF(F22="","",1-F22)</f>
        <v/>
      </c>
      <c r="J22" s="2">
        <f>IF(A22="","",0.6*I22+0.4*H22)</f>
        <v/>
      </c>
      <c r="K22">
        <f>IF(F22="","",IF(F22&lt;=0.33,"Low Movement",IF(F22&lt;=0.66,"Medium Movement","High Movement")))</f>
        <v/>
      </c>
      <c r="L22">
        <f>IF(J22="","",IF(J22&gt;=0.67,"High Value Bundle",IF(J22&gt;=0.34,"Medium Value Bundle","Low Value Bundle")))</f>
        <v/>
      </c>
      <c r="M22">
        <f>IF(A22="","",IF(AND(F22&gt;=0.66,H22&gt;=0.66),"Yes","No"))</f>
        <v/>
      </c>
      <c r="N22">
        <f>IF(A22="","",IF(K22="Low Movement","Yes","No"))</f>
        <v/>
      </c>
      <c r="O22" s="2">
        <f>IF(L22="","",IF(L22="High Value Bundle",0.10,IF(L22="Medium Value Bundle",0.15,0.20)))</f>
        <v/>
      </c>
      <c r="P22">
        <f>IF(M22="Yes",C22&amp;"|anchor","")</f>
        <v/>
      </c>
      <c r="Q22">
        <f>IF(M22="Yes",B22,"")</f>
        <v/>
      </c>
    </row>
    <row r="23">
      <c r="A23">
        <f>Input_Data!A23</f>
        <v/>
      </c>
      <c r="B23">
        <f>Input_Data!B23</f>
        <v/>
      </c>
      <c r="C23">
        <f>Input_Data!C23</f>
        <v/>
      </c>
      <c r="D23">
        <f>IF(A23="","",SUM(Input_Data!D23:I23))</f>
        <v/>
      </c>
      <c r="E23">
        <f>IF(D23="","",D23/6)</f>
        <v/>
      </c>
      <c r="F23" s="2">
        <f>IF(D23="","",IF(COUNTA($D$2:$D$300)&lt;=1,0,PERCENTRANK.INC($D$2:$D$300,D23)))</f>
        <v/>
      </c>
      <c r="G23" s="2">
        <f>Input_Data!J23</f>
        <v/>
      </c>
      <c r="H23" s="2">
        <f>IF(G23="","",IF(COUNTA($G$2:$G$300)&lt;=1,0,PERCENTRANK.INC($G$2:$G$300,G23)))</f>
        <v/>
      </c>
      <c r="I23" s="2">
        <f>IF(F23="","",1-F23)</f>
        <v/>
      </c>
      <c r="J23" s="2">
        <f>IF(A23="","",0.6*I23+0.4*H23)</f>
        <v/>
      </c>
      <c r="K23">
        <f>IF(F23="","",IF(F23&lt;=0.33,"Low Movement",IF(F23&lt;=0.66,"Medium Movement","High Movement")))</f>
        <v/>
      </c>
      <c r="L23">
        <f>IF(J23="","",IF(J23&gt;=0.67,"High Value Bundle",IF(J23&gt;=0.34,"Medium Value Bundle","Low Value Bundle")))</f>
        <v/>
      </c>
      <c r="M23">
        <f>IF(A23="","",IF(AND(F23&gt;=0.66,H23&gt;=0.66),"Yes","No"))</f>
        <v/>
      </c>
      <c r="N23">
        <f>IF(A23="","",IF(K23="Low Movement","Yes","No"))</f>
        <v/>
      </c>
      <c r="O23" s="2">
        <f>IF(L23="","",IF(L23="High Value Bundle",0.10,IF(L23="Medium Value Bundle",0.15,0.20)))</f>
        <v/>
      </c>
      <c r="P23">
        <f>IF(M23="Yes",C23&amp;"|anchor","")</f>
        <v/>
      </c>
      <c r="Q23">
        <f>IF(M23="Yes",B23,"")</f>
        <v/>
      </c>
    </row>
    <row r="24">
      <c r="A24">
        <f>Input_Data!A24</f>
        <v/>
      </c>
      <c r="B24">
        <f>Input_Data!B24</f>
        <v/>
      </c>
      <c r="C24">
        <f>Input_Data!C24</f>
        <v/>
      </c>
      <c r="D24">
        <f>IF(A24="","",SUM(Input_Data!D24:I24))</f>
        <v/>
      </c>
      <c r="E24">
        <f>IF(D24="","",D24/6)</f>
        <v/>
      </c>
      <c r="F24" s="2">
        <f>IF(D24="","",IF(COUNTA($D$2:$D$300)&lt;=1,0,PERCENTRANK.INC($D$2:$D$300,D24)))</f>
        <v/>
      </c>
      <c r="G24" s="2">
        <f>Input_Data!J24</f>
        <v/>
      </c>
      <c r="H24" s="2">
        <f>IF(G24="","",IF(COUNTA($G$2:$G$300)&lt;=1,0,PERCENTRANK.INC($G$2:$G$300,G24)))</f>
        <v/>
      </c>
      <c r="I24" s="2">
        <f>IF(F24="","",1-F24)</f>
        <v/>
      </c>
      <c r="J24" s="2">
        <f>IF(A24="","",0.6*I24+0.4*H24)</f>
        <v/>
      </c>
      <c r="K24">
        <f>IF(F24="","",IF(F24&lt;=0.33,"Low Movement",IF(F24&lt;=0.66,"Medium Movement","High Movement")))</f>
        <v/>
      </c>
      <c r="L24">
        <f>IF(J24="","",IF(J24&gt;=0.67,"High Value Bundle",IF(J24&gt;=0.34,"Medium Value Bundle","Low Value Bundle")))</f>
        <v/>
      </c>
      <c r="M24">
        <f>IF(A24="","",IF(AND(F24&gt;=0.66,H24&gt;=0.66),"Yes","No"))</f>
        <v/>
      </c>
      <c r="N24">
        <f>IF(A24="","",IF(K24="Low Movement","Yes","No"))</f>
        <v/>
      </c>
      <c r="O24" s="2">
        <f>IF(L24="","",IF(L24="High Value Bundle",0.10,IF(L24="Medium Value Bundle",0.15,0.20)))</f>
        <v/>
      </c>
      <c r="P24">
        <f>IF(M24="Yes",C24&amp;"|anchor","")</f>
        <v/>
      </c>
      <c r="Q24">
        <f>IF(M24="Yes",B24,"")</f>
        <v/>
      </c>
    </row>
    <row r="25">
      <c r="A25">
        <f>Input_Data!A25</f>
        <v/>
      </c>
      <c r="B25">
        <f>Input_Data!B25</f>
        <v/>
      </c>
      <c r="C25">
        <f>Input_Data!C25</f>
        <v/>
      </c>
      <c r="D25">
        <f>IF(A25="","",SUM(Input_Data!D25:I25))</f>
        <v/>
      </c>
      <c r="E25">
        <f>IF(D25="","",D25/6)</f>
        <v/>
      </c>
      <c r="F25" s="2">
        <f>IF(D25="","",IF(COUNTA($D$2:$D$300)&lt;=1,0,PERCENTRANK.INC($D$2:$D$300,D25)))</f>
        <v/>
      </c>
      <c r="G25" s="2">
        <f>Input_Data!J25</f>
        <v/>
      </c>
      <c r="H25" s="2">
        <f>IF(G25="","",IF(COUNTA($G$2:$G$300)&lt;=1,0,PERCENTRANK.INC($G$2:$G$300,G25)))</f>
        <v/>
      </c>
      <c r="I25" s="2">
        <f>IF(F25="","",1-F25)</f>
        <v/>
      </c>
      <c r="J25" s="2">
        <f>IF(A25="","",0.6*I25+0.4*H25)</f>
        <v/>
      </c>
      <c r="K25">
        <f>IF(F25="","",IF(F25&lt;=0.33,"Low Movement",IF(F25&lt;=0.66,"Medium Movement","High Movement")))</f>
        <v/>
      </c>
      <c r="L25">
        <f>IF(J25="","",IF(J25&gt;=0.67,"High Value Bundle",IF(J25&gt;=0.34,"Medium Value Bundle","Low Value Bundle")))</f>
        <v/>
      </c>
      <c r="M25">
        <f>IF(A25="","",IF(AND(F25&gt;=0.66,H25&gt;=0.66),"Yes","No"))</f>
        <v/>
      </c>
      <c r="N25">
        <f>IF(A25="","",IF(K25="Low Movement","Yes","No"))</f>
        <v/>
      </c>
      <c r="O25" s="2">
        <f>IF(L25="","",IF(L25="High Value Bundle",0.10,IF(L25="Medium Value Bundle",0.15,0.20)))</f>
        <v/>
      </c>
      <c r="P25">
        <f>IF(M25="Yes",C25&amp;"|anchor","")</f>
        <v/>
      </c>
      <c r="Q25">
        <f>IF(M25="Yes",B25,"")</f>
        <v/>
      </c>
    </row>
    <row r="26">
      <c r="A26">
        <f>Input_Data!A26</f>
        <v/>
      </c>
      <c r="B26">
        <f>Input_Data!B26</f>
        <v/>
      </c>
      <c r="C26">
        <f>Input_Data!C26</f>
        <v/>
      </c>
      <c r="D26">
        <f>IF(A26="","",SUM(Input_Data!D26:I26))</f>
        <v/>
      </c>
      <c r="E26">
        <f>IF(D26="","",D26/6)</f>
        <v/>
      </c>
      <c r="F26" s="2">
        <f>IF(D26="","",IF(COUNTA($D$2:$D$300)&lt;=1,0,PERCENTRANK.INC($D$2:$D$300,D26)))</f>
        <v/>
      </c>
      <c r="G26" s="2">
        <f>Input_Data!J26</f>
        <v/>
      </c>
      <c r="H26" s="2">
        <f>IF(G26="","",IF(COUNTA($G$2:$G$300)&lt;=1,0,PERCENTRANK.INC($G$2:$G$300,G26)))</f>
        <v/>
      </c>
      <c r="I26" s="2">
        <f>IF(F26="","",1-F26)</f>
        <v/>
      </c>
      <c r="J26" s="2">
        <f>IF(A26="","",0.6*I26+0.4*H26)</f>
        <v/>
      </c>
      <c r="K26">
        <f>IF(F26="","",IF(F26&lt;=0.33,"Low Movement",IF(F26&lt;=0.66,"Medium Movement","High Movement")))</f>
        <v/>
      </c>
      <c r="L26">
        <f>IF(J26="","",IF(J26&gt;=0.67,"High Value Bundle",IF(J26&gt;=0.34,"Medium Value Bundle","Low Value Bundle")))</f>
        <v/>
      </c>
      <c r="M26">
        <f>IF(A26="","",IF(AND(F26&gt;=0.66,H26&gt;=0.66),"Yes","No"))</f>
        <v/>
      </c>
      <c r="N26">
        <f>IF(A26="","",IF(K26="Low Movement","Yes","No"))</f>
        <v/>
      </c>
      <c r="O26" s="2">
        <f>IF(L26="","",IF(L26="High Value Bundle",0.10,IF(L26="Medium Value Bundle",0.15,0.20)))</f>
        <v/>
      </c>
      <c r="P26">
        <f>IF(M26="Yes",C26&amp;"|anchor","")</f>
        <v/>
      </c>
      <c r="Q26">
        <f>IF(M26="Yes",B26,"")</f>
        <v/>
      </c>
    </row>
    <row r="27">
      <c r="A27">
        <f>Input_Data!A27</f>
        <v/>
      </c>
      <c r="B27">
        <f>Input_Data!B27</f>
        <v/>
      </c>
      <c r="C27">
        <f>Input_Data!C27</f>
        <v/>
      </c>
      <c r="D27">
        <f>IF(A27="","",SUM(Input_Data!D27:I27))</f>
        <v/>
      </c>
      <c r="E27">
        <f>IF(D27="","",D27/6)</f>
        <v/>
      </c>
      <c r="F27" s="2">
        <f>IF(D27="","",IF(COUNTA($D$2:$D$300)&lt;=1,0,PERCENTRANK.INC($D$2:$D$300,D27)))</f>
        <v/>
      </c>
      <c r="G27" s="2">
        <f>Input_Data!J27</f>
        <v/>
      </c>
      <c r="H27" s="2">
        <f>IF(G27="","",IF(COUNTA($G$2:$G$300)&lt;=1,0,PERCENTRANK.INC($G$2:$G$300,G27)))</f>
        <v/>
      </c>
      <c r="I27" s="2">
        <f>IF(F27="","",1-F27)</f>
        <v/>
      </c>
      <c r="J27" s="2">
        <f>IF(A27="","",0.6*I27+0.4*H27)</f>
        <v/>
      </c>
      <c r="K27">
        <f>IF(F27="","",IF(F27&lt;=0.33,"Low Movement",IF(F27&lt;=0.66,"Medium Movement","High Movement")))</f>
        <v/>
      </c>
      <c r="L27">
        <f>IF(J27="","",IF(J27&gt;=0.67,"High Value Bundle",IF(J27&gt;=0.34,"Medium Value Bundle","Low Value Bundle")))</f>
        <v/>
      </c>
      <c r="M27">
        <f>IF(A27="","",IF(AND(F27&gt;=0.66,H27&gt;=0.66),"Yes","No"))</f>
        <v/>
      </c>
      <c r="N27">
        <f>IF(A27="","",IF(K27="Low Movement","Yes","No"))</f>
        <v/>
      </c>
      <c r="O27" s="2">
        <f>IF(L27="","",IF(L27="High Value Bundle",0.10,IF(L27="Medium Value Bundle",0.15,0.20)))</f>
        <v/>
      </c>
      <c r="P27">
        <f>IF(M27="Yes",C27&amp;"|anchor","")</f>
        <v/>
      </c>
      <c r="Q27">
        <f>IF(M27="Yes",B27,"")</f>
        <v/>
      </c>
    </row>
    <row r="28">
      <c r="A28">
        <f>Input_Data!A28</f>
        <v/>
      </c>
      <c r="B28">
        <f>Input_Data!B28</f>
        <v/>
      </c>
      <c r="C28">
        <f>Input_Data!C28</f>
        <v/>
      </c>
      <c r="D28">
        <f>IF(A28="","",SUM(Input_Data!D28:I28))</f>
        <v/>
      </c>
      <c r="E28">
        <f>IF(D28="","",D28/6)</f>
        <v/>
      </c>
      <c r="F28" s="2">
        <f>IF(D28="","",IF(COUNTA($D$2:$D$300)&lt;=1,0,PERCENTRANK.INC($D$2:$D$300,D28)))</f>
        <v/>
      </c>
      <c r="G28" s="2">
        <f>Input_Data!J28</f>
        <v/>
      </c>
      <c r="H28" s="2">
        <f>IF(G28="","",IF(COUNTA($G$2:$G$300)&lt;=1,0,PERCENTRANK.INC($G$2:$G$300,G28)))</f>
        <v/>
      </c>
      <c r="I28" s="2">
        <f>IF(F28="","",1-F28)</f>
        <v/>
      </c>
      <c r="J28" s="2">
        <f>IF(A28="","",0.6*I28+0.4*H28)</f>
        <v/>
      </c>
      <c r="K28">
        <f>IF(F28="","",IF(F28&lt;=0.33,"Low Movement",IF(F28&lt;=0.66,"Medium Movement","High Movement")))</f>
        <v/>
      </c>
      <c r="L28">
        <f>IF(J28="","",IF(J28&gt;=0.67,"High Value Bundle",IF(J28&gt;=0.34,"Medium Value Bundle","Low Value Bundle")))</f>
        <v/>
      </c>
      <c r="M28">
        <f>IF(A28="","",IF(AND(F28&gt;=0.66,H28&gt;=0.66),"Yes","No"))</f>
        <v/>
      </c>
      <c r="N28">
        <f>IF(A28="","",IF(K28="Low Movement","Yes","No"))</f>
        <v/>
      </c>
      <c r="O28" s="2">
        <f>IF(L28="","",IF(L28="High Value Bundle",0.10,IF(L28="Medium Value Bundle",0.15,0.20)))</f>
        <v/>
      </c>
      <c r="P28">
        <f>IF(M28="Yes",C28&amp;"|anchor","")</f>
        <v/>
      </c>
      <c r="Q28">
        <f>IF(M28="Yes",B28,"")</f>
        <v/>
      </c>
    </row>
    <row r="29">
      <c r="A29">
        <f>Input_Data!A29</f>
        <v/>
      </c>
      <c r="B29">
        <f>Input_Data!B29</f>
        <v/>
      </c>
      <c r="C29">
        <f>Input_Data!C29</f>
        <v/>
      </c>
      <c r="D29">
        <f>IF(A29="","",SUM(Input_Data!D29:I29))</f>
        <v/>
      </c>
      <c r="E29">
        <f>IF(D29="","",D29/6)</f>
        <v/>
      </c>
      <c r="F29" s="2">
        <f>IF(D29="","",IF(COUNTA($D$2:$D$300)&lt;=1,0,PERCENTRANK.INC($D$2:$D$300,D29)))</f>
        <v/>
      </c>
      <c r="G29" s="2">
        <f>Input_Data!J29</f>
        <v/>
      </c>
      <c r="H29" s="2">
        <f>IF(G29="","",IF(COUNTA($G$2:$G$300)&lt;=1,0,PERCENTRANK.INC($G$2:$G$300,G29)))</f>
        <v/>
      </c>
      <c r="I29" s="2">
        <f>IF(F29="","",1-F29)</f>
        <v/>
      </c>
      <c r="J29" s="2">
        <f>IF(A29="","",0.6*I29+0.4*H29)</f>
        <v/>
      </c>
      <c r="K29">
        <f>IF(F29="","",IF(F29&lt;=0.33,"Low Movement",IF(F29&lt;=0.66,"Medium Movement","High Movement")))</f>
        <v/>
      </c>
      <c r="L29">
        <f>IF(J29="","",IF(J29&gt;=0.67,"High Value Bundle",IF(J29&gt;=0.34,"Medium Value Bundle","Low Value Bundle")))</f>
        <v/>
      </c>
      <c r="M29">
        <f>IF(A29="","",IF(AND(F29&gt;=0.66,H29&gt;=0.66),"Yes","No"))</f>
        <v/>
      </c>
      <c r="N29">
        <f>IF(A29="","",IF(K29="Low Movement","Yes","No"))</f>
        <v/>
      </c>
      <c r="O29" s="2">
        <f>IF(L29="","",IF(L29="High Value Bundle",0.10,IF(L29="Medium Value Bundle",0.15,0.20)))</f>
        <v/>
      </c>
      <c r="P29">
        <f>IF(M29="Yes",C29&amp;"|anchor","")</f>
        <v/>
      </c>
      <c r="Q29">
        <f>IF(M29="Yes",B29,"")</f>
        <v/>
      </c>
    </row>
    <row r="30">
      <c r="A30">
        <f>Input_Data!A30</f>
        <v/>
      </c>
      <c r="B30">
        <f>Input_Data!B30</f>
        <v/>
      </c>
      <c r="C30">
        <f>Input_Data!C30</f>
        <v/>
      </c>
      <c r="D30">
        <f>IF(A30="","",SUM(Input_Data!D30:I30))</f>
        <v/>
      </c>
      <c r="E30">
        <f>IF(D30="","",D30/6)</f>
        <v/>
      </c>
      <c r="F30" s="2">
        <f>IF(D30="","",IF(COUNTA($D$2:$D$300)&lt;=1,0,PERCENTRANK.INC($D$2:$D$300,D30)))</f>
        <v/>
      </c>
      <c r="G30" s="2">
        <f>Input_Data!J30</f>
        <v/>
      </c>
      <c r="H30" s="2">
        <f>IF(G30="","",IF(COUNTA($G$2:$G$300)&lt;=1,0,PERCENTRANK.INC($G$2:$G$300,G30)))</f>
        <v/>
      </c>
      <c r="I30" s="2">
        <f>IF(F30="","",1-F30)</f>
        <v/>
      </c>
      <c r="J30" s="2">
        <f>IF(A30="","",0.6*I30+0.4*H30)</f>
        <v/>
      </c>
      <c r="K30">
        <f>IF(F30="","",IF(F30&lt;=0.33,"Low Movement",IF(F30&lt;=0.66,"Medium Movement","High Movement")))</f>
        <v/>
      </c>
      <c r="L30">
        <f>IF(J30="","",IF(J30&gt;=0.67,"High Value Bundle",IF(J30&gt;=0.34,"Medium Value Bundle","Low Value Bundle")))</f>
        <v/>
      </c>
      <c r="M30">
        <f>IF(A30="","",IF(AND(F30&gt;=0.66,H30&gt;=0.66),"Yes","No"))</f>
        <v/>
      </c>
      <c r="N30">
        <f>IF(A30="","",IF(K30="Low Movement","Yes","No"))</f>
        <v/>
      </c>
      <c r="O30" s="2">
        <f>IF(L30="","",IF(L30="High Value Bundle",0.10,IF(L30="Medium Value Bundle",0.15,0.20)))</f>
        <v/>
      </c>
      <c r="P30">
        <f>IF(M30="Yes",C30&amp;"|anchor","")</f>
        <v/>
      </c>
      <c r="Q30">
        <f>IF(M30="Yes",B30,"")</f>
        <v/>
      </c>
    </row>
    <row r="31">
      <c r="A31">
        <f>Input_Data!A31</f>
        <v/>
      </c>
      <c r="B31">
        <f>Input_Data!B31</f>
        <v/>
      </c>
      <c r="C31">
        <f>Input_Data!C31</f>
        <v/>
      </c>
      <c r="D31">
        <f>IF(A31="","",SUM(Input_Data!D31:I31))</f>
        <v/>
      </c>
      <c r="E31">
        <f>IF(D31="","",D31/6)</f>
        <v/>
      </c>
      <c r="F31" s="2">
        <f>IF(D31="","",IF(COUNTA($D$2:$D$300)&lt;=1,0,PERCENTRANK.INC($D$2:$D$300,D31)))</f>
        <v/>
      </c>
      <c r="G31" s="2">
        <f>Input_Data!J31</f>
        <v/>
      </c>
      <c r="H31" s="2">
        <f>IF(G31="","",IF(COUNTA($G$2:$G$300)&lt;=1,0,PERCENTRANK.INC($G$2:$G$300,G31)))</f>
        <v/>
      </c>
      <c r="I31" s="2">
        <f>IF(F31="","",1-F31)</f>
        <v/>
      </c>
      <c r="J31" s="2">
        <f>IF(A31="","",0.6*I31+0.4*H31)</f>
        <v/>
      </c>
      <c r="K31">
        <f>IF(F31="","",IF(F31&lt;=0.33,"Low Movement",IF(F31&lt;=0.66,"Medium Movement","High Movement")))</f>
        <v/>
      </c>
      <c r="L31">
        <f>IF(J31="","",IF(J31&gt;=0.67,"High Value Bundle",IF(J31&gt;=0.34,"Medium Value Bundle","Low Value Bundle")))</f>
        <v/>
      </c>
      <c r="M31">
        <f>IF(A31="","",IF(AND(F31&gt;=0.66,H31&gt;=0.66),"Yes","No"))</f>
        <v/>
      </c>
      <c r="N31">
        <f>IF(A31="","",IF(K31="Low Movement","Yes","No"))</f>
        <v/>
      </c>
      <c r="O31" s="2">
        <f>IF(L31="","",IF(L31="High Value Bundle",0.10,IF(L31="Medium Value Bundle",0.15,0.20)))</f>
        <v/>
      </c>
      <c r="P31">
        <f>IF(M31="Yes",C31&amp;"|anchor","")</f>
        <v/>
      </c>
      <c r="Q31">
        <f>IF(M31="Yes",B31,"")</f>
        <v/>
      </c>
    </row>
    <row r="32">
      <c r="A32">
        <f>Input_Data!A32</f>
        <v/>
      </c>
      <c r="B32">
        <f>Input_Data!B32</f>
        <v/>
      </c>
      <c r="C32">
        <f>Input_Data!C32</f>
        <v/>
      </c>
      <c r="D32">
        <f>IF(A32="","",SUM(Input_Data!D32:I32))</f>
        <v/>
      </c>
      <c r="E32">
        <f>IF(D32="","",D32/6)</f>
        <v/>
      </c>
      <c r="F32" s="2">
        <f>IF(D32="","",IF(COUNTA($D$2:$D$300)&lt;=1,0,PERCENTRANK.INC($D$2:$D$300,D32)))</f>
        <v/>
      </c>
      <c r="G32" s="2">
        <f>Input_Data!J32</f>
        <v/>
      </c>
      <c r="H32" s="2">
        <f>IF(G32="","",IF(COUNTA($G$2:$G$300)&lt;=1,0,PERCENTRANK.INC($G$2:$G$300,G32)))</f>
        <v/>
      </c>
      <c r="I32" s="2">
        <f>IF(F32="","",1-F32)</f>
        <v/>
      </c>
      <c r="J32" s="2">
        <f>IF(A32="","",0.6*I32+0.4*H32)</f>
        <v/>
      </c>
      <c r="K32">
        <f>IF(F32="","",IF(F32&lt;=0.33,"Low Movement",IF(F32&lt;=0.66,"Medium Movement","High Movement")))</f>
        <v/>
      </c>
      <c r="L32">
        <f>IF(J32="","",IF(J32&gt;=0.67,"High Value Bundle",IF(J32&gt;=0.34,"Medium Value Bundle","Low Value Bundle")))</f>
        <v/>
      </c>
      <c r="M32">
        <f>IF(A32="","",IF(AND(F32&gt;=0.66,H32&gt;=0.66),"Yes","No"))</f>
        <v/>
      </c>
      <c r="N32">
        <f>IF(A32="","",IF(K32="Low Movement","Yes","No"))</f>
        <v/>
      </c>
      <c r="O32" s="2">
        <f>IF(L32="","",IF(L32="High Value Bundle",0.10,IF(L32="Medium Value Bundle",0.15,0.20)))</f>
        <v/>
      </c>
      <c r="P32">
        <f>IF(M32="Yes",C32&amp;"|anchor","")</f>
        <v/>
      </c>
      <c r="Q32">
        <f>IF(M32="Yes",B32,"")</f>
        <v/>
      </c>
    </row>
    <row r="33">
      <c r="A33">
        <f>Input_Data!A33</f>
        <v/>
      </c>
      <c r="B33">
        <f>Input_Data!B33</f>
        <v/>
      </c>
      <c r="C33">
        <f>Input_Data!C33</f>
        <v/>
      </c>
      <c r="D33">
        <f>IF(A33="","",SUM(Input_Data!D33:I33))</f>
        <v/>
      </c>
      <c r="E33">
        <f>IF(D33="","",D33/6)</f>
        <v/>
      </c>
      <c r="F33" s="2">
        <f>IF(D33="","",IF(COUNTA($D$2:$D$300)&lt;=1,0,PERCENTRANK.INC($D$2:$D$300,D33)))</f>
        <v/>
      </c>
      <c r="G33" s="2">
        <f>Input_Data!J33</f>
        <v/>
      </c>
      <c r="H33" s="2">
        <f>IF(G33="","",IF(COUNTA($G$2:$G$300)&lt;=1,0,PERCENTRANK.INC($G$2:$G$300,G33)))</f>
        <v/>
      </c>
      <c r="I33" s="2">
        <f>IF(F33="","",1-F33)</f>
        <v/>
      </c>
      <c r="J33" s="2">
        <f>IF(A33="","",0.6*I33+0.4*H33)</f>
        <v/>
      </c>
      <c r="K33">
        <f>IF(F33="","",IF(F33&lt;=0.33,"Low Movement",IF(F33&lt;=0.66,"Medium Movement","High Movement")))</f>
        <v/>
      </c>
      <c r="L33">
        <f>IF(J33="","",IF(J33&gt;=0.67,"High Value Bundle",IF(J33&gt;=0.34,"Medium Value Bundle","Low Value Bundle")))</f>
        <v/>
      </c>
      <c r="M33">
        <f>IF(A33="","",IF(AND(F33&gt;=0.66,H33&gt;=0.66),"Yes","No"))</f>
        <v/>
      </c>
      <c r="N33">
        <f>IF(A33="","",IF(K33="Low Movement","Yes","No"))</f>
        <v/>
      </c>
      <c r="O33" s="2">
        <f>IF(L33="","",IF(L33="High Value Bundle",0.10,IF(L33="Medium Value Bundle",0.15,0.20)))</f>
        <v/>
      </c>
      <c r="P33">
        <f>IF(M33="Yes",C33&amp;"|anchor","")</f>
        <v/>
      </c>
      <c r="Q33">
        <f>IF(M33="Yes",B33,"")</f>
        <v/>
      </c>
    </row>
    <row r="34">
      <c r="A34">
        <f>Input_Data!A34</f>
        <v/>
      </c>
      <c r="B34">
        <f>Input_Data!B34</f>
        <v/>
      </c>
      <c r="C34">
        <f>Input_Data!C34</f>
        <v/>
      </c>
      <c r="D34">
        <f>IF(A34="","",SUM(Input_Data!D34:I34))</f>
        <v/>
      </c>
      <c r="E34">
        <f>IF(D34="","",D34/6)</f>
        <v/>
      </c>
      <c r="F34" s="2">
        <f>IF(D34="","",IF(COUNTA($D$2:$D$300)&lt;=1,0,PERCENTRANK.INC($D$2:$D$300,D34)))</f>
        <v/>
      </c>
      <c r="G34" s="2">
        <f>Input_Data!J34</f>
        <v/>
      </c>
      <c r="H34" s="2">
        <f>IF(G34="","",IF(COUNTA($G$2:$G$300)&lt;=1,0,PERCENTRANK.INC($G$2:$G$300,G34)))</f>
        <v/>
      </c>
      <c r="I34" s="2">
        <f>IF(F34="","",1-F34)</f>
        <v/>
      </c>
      <c r="J34" s="2">
        <f>IF(A34="","",0.6*I34+0.4*H34)</f>
        <v/>
      </c>
      <c r="K34">
        <f>IF(F34="","",IF(F34&lt;=0.33,"Low Movement",IF(F34&lt;=0.66,"Medium Movement","High Movement")))</f>
        <v/>
      </c>
      <c r="L34">
        <f>IF(J34="","",IF(J34&gt;=0.67,"High Value Bundle",IF(J34&gt;=0.34,"Medium Value Bundle","Low Value Bundle")))</f>
        <v/>
      </c>
      <c r="M34">
        <f>IF(A34="","",IF(AND(F34&gt;=0.66,H34&gt;=0.66),"Yes","No"))</f>
        <v/>
      </c>
      <c r="N34">
        <f>IF(A34="","",IF(K34="Low Movement","Yes","No"))</f>
        <v/>
      </c>
      <c r="O34" s="2">
        <f>IF(L34="","",IF(L34="High Value Bundle",0.10,IF(L34="Medium Value Bundle",0.15,0.20)))</f>
        <v/>
      </c>
      <c r="P34">
        <f>IF(M34="Yes",C34&amp;"|anchor","")</f>
        <v/>
      </c>
      <c r="Q34">
        <f>IF(M34="Yes",B34,"")</f>
        <v/>
      </c>
    </row>
    <row r="35">
      <c r="A35">
        <f>Input_Data!A35</f>
        <v/>
      </c>
      <c r="B35">
        <f>Input_Data!B35</f>
        <v/>
      </c>
      <c r="C35">
        <f>Input_Data!C35</f>
        <v/>
      </c>
      <c r="D35">
        <f>IF(A35="","",SUM(Input_Data!D35:I35))</f>
        <v/>
      </c>
      <c r="E35">
        <f>IF(D35="","",D35/6)</f>
        <v/>
      </c>
      <c r="F35" s="2">
        <f>IF(D35="","",IF(COUNTA($D$2:$D$300)&lt;=1,0,PERCENTRANK.INC($D$2:$D$300,D35)))</f>
        <v/>
      </c>
      <c r="G35" s="2">
        <f>Input_Data!J35</f>
        <v/>
      </c>
      <c r="H35" s="2">
        <f>IF(G35="","",IF(COUNTA($G$2:$G$300)&lt;=1,0,PERCENTRANK.INC($G$2:$G$300,G35)))</f>
        <v/>
      </c>
      <c r="I35" s="2">
        <f>IF(F35="","",1-F35)</f>
        <v/>
      </c>
      <c r="J35" s="2">
        <f>IF(A35="","",0.6*I35+0.4*H35)</f>
        <v/>
      </c>
      <c r="K35">
        <f>IF(F35="","",IF(F35&lt;=0.33,"Low Movement",IF(F35&lt;=0.66,"Medium Movement","High Movement")))</f>
        <v/>
      </c>
      <c r="L35">
        <f>IF(J35="","",IF(J35&gt;=0.67,"High Value Bundle",IF(J35&gt;=0.34,"Medium Value Bundle","Low Value Bundle")))</f>
        <v/>
      </c>
      <c r="M35">
        <f>IF(A35="","",IF(AND(F35&gt;=0.66,H35&gt;=0.66),"Yes","No"))</f>
        <v/>
      </c>
      <c r="N35">
        <f>IF(A35="","",IF(K35="Low Movement","Yes","No"))</f>
        <v/>
      </c>
      <c r="O35" s="2">
        <f>IF(L35="","",IF(L35="High Value Bundle",0.10,IF(L35="Medium Value Bundle",0.15,0.20)))</f>
        <v/>
      </c>
      <c r="P35">
        <f>IF(M35="Yes",C35&amp;"|anchor","")</f>
        <v/>
      </c>
      <c r="Q35">
        <f>IF(M35="Yes",B35,"")</f>
        <v/>
      </c>
    </row>
    <row r="36">
      <c r="A36">
        <f>Input_Data!A36</f>
        <v/>
      </c>
      <c r="B36">
        <f>Input_Data!B36</f>
        <v/>
      </c>
      <c r="C36">
        <f>Input_Data!C36</f>
        <v/>
      </c>
      <c r="D36">
        <f>IF(A36="","",SUM(Input_Data!D36:I36))</f>
        <v/>
      </c>
      <c r="E36">
        <f>IF(D36="","",D36/6)</f>
        <v/>
      </c>
      <c r="F36" s="2">
        <f>IF(D36="","",IF(COUNTA($D$2:$D$300)&lt;=1,0,PERCENTRANK.INC($D$2:$D$300,D36)))</f>
        <v/>
      </c>
      <c r="G36" s="2">
        <f>Input_Data!J36</f>
        <v/>
      </c>
      <c r="H36" s="2">
        <f>IF(G36="","",IF(COUNTA($G$2:$G$300)&lt;=1,0,PERCENTRANK.INC($G$2:$G$300,G36)))</f>
        <v/>
      </c>
      <c r="I36" s="2">
        <f>IF(F36="","",1-F36)</f>
        <v/>
      </c>
      <c r="J36" s="2">
        <f>IF(A36="","",0.6*I36+0.4*H36)</f>
        <v/>
      </c>
      <c r="K36">
        <f>IF(F36="","",IF(F36&lt;=0.33,"Low Movement",IF(F36&lt;=0.66,"Medium Movement","High Movement")))</f>
        <v/>
      </c>
      <c r="L36">
        <f>IF(J36="","",IF(J36&gt;=0.67,"High Value Bundle",IF(J36&gt;=0.34,"Medium Value Bundle","Low Value Bundle")))</f>
        <v/>
      </c>
      <c r="M36">
        <f>IF(A36="","",IF(AND(F36&gt;=0.66,H36&gt;=0.66),"Yes","No"))</f>
        <v/>
      </c>
      <c r="N36">
        <f>IF(A36="","",IF(K36="Low Movement","Yes","No"))</f>
        <v/>
      </c>
      <c r="O36" s="2">
        <f>IF(L36="","",IF(L36="High Value Bundle",0.10,IF(L36="Medium Value Bundle",0.15,0.20)))</f>
        <v/>
      </c>
      <c r="P36">
        <f>IF(M36="Yes",C36&amp;"|anchor","")</f>
        <v/>
      </c>
      <c r="Q36">
        <f>IF(M36="Yes",B36,"")</f>
        <v/>
      </c>
    </row>
    <row r="37">
      <c r="A37">
        <f>Input_Data!A37</f>
        <v/>
      </c>
      <c r="B37">
        <f>Input_Data!B37</f>
        <v/>
      </c>
      <c r="C37">
        <f>Input_Data!C37</f>
        <v/>
      </c>
      <c r="D37">
        <f>IF(A37="","",SUM(Input_Data!D37:I37))</f>
        <v/>
      </c>
      <c r="E37">
        <f>IF(D37="","",D37/6)</f>
        <v/>
      </c>
      <c r="F37" s="2">
        <f>IF(D37="","",IF(COUNTA($D$2:$D$300)&lt;=1,0,PERCENTRANK.INC($D$2:$D$300,D37)))</f>
        <v/>
      </c>
      <c r="G37" s="2">
        <f>Input_Data!J37</f>
        <v/>
      </c>
      <c r="H37" s="2">
        <f>IF(G37="","",IF(COUNTA($G$2:$G$300)&lt;=1,0,PERCENTRANK.INC($G$2:$G$300,G37)))</f>
        <v/>
      </c>
      <c r="I37" s="2">
        <f>IF(F37="","",1-F37)</f>
        <v/>
      </c>
      <c r="J37" s="2">
        <f>IF(A37="","",0.6*I37+0.4*H37)</f>
        <v/>
      </c>
      <c r="K37">
        <f>IF(F37="","",IF(F37&lt;=0.33,"Low Movement",IF(F37&lt;=0.66,"Medium Movement","High Movement")))</f>
        <v/>
      </c>
      <c r="L37">
        <f>IF(J37="","",IF(J37&gt;=0.67,"High Value Bundle",IF(J37&gt;=0.34,"Medium Value Bundle","Low Value Bundle")))</f>
        <v/>
      </c>
      <c r="M37">
        <f>IF(A37="","",IF(AND(F37&gt;=0.66,H37&gt;=0.66),"Yes","No"))</f>
        <v/>
      </c>
      <c r="N37">
        <f>IF(A37="","",IF(K37="Low Movement","Yes","No"))</f>
        <v/>
      </c>
      <c r="O37" s="2">
        <f>IF(L37="","",IF(L37="High Value Bundle",0.10,IF(L37="Medium Value Bundle",0.15,0.20)))</f>
        <v/>
      </c>
      <c r="P37">
        <f>IF(M37="Yes",C37&amp;"|anchor","")</f>
        <v/>
      </c>
      <c r="Q37">
        <f>IF(M37="Yes",B37,"")</f>
        <v/>
      </c>
    </row>
    <row r="38">
      <c r="A38">
        <f>Input_Data!A38</f>
        <v/>
      </c>
      <c r="B38">
        <f>Input_Data!B38</f>
        <v/>
      </c>
      <c r="C38">
        <f>Input_Data!C38</f>
        <v/>
      </c>
      <c r="D38">
        <f>IF(A38="","",SUM(Input_Data!D38:I38))</f>
        <v/>
      </c>
      <c r="E38">
        <f>IF(D38="","",D38/6)</f>
        <v/>
      </c>
      <c r="F38" s="2">
        <f>IF(D38="","",IF(COUNTA($D$2:$D$300)&lt;=1,0,PERCENTRANK.INC($D$2:$D$300,D38)))</f>
        <v/>
      </c>
      <c r="G38" s="2">
        <f>Input_Data!J38</f>
        <v/>
      </c>
      <c r="H38" s="2">
        <f>IF(G38="","",IF(COUNTA($G$2:$G$300)&lt;=1,0,PERCENTRANK.INC($G$2:$G$300,G38)))</f>
        <v/>
      </c>
      <c r="I38" s="2">
        <f>IF(F38="","",1-F38)</f>
        <v/>
      </c>
      <c r="J38" s="2">
        <f>IF(A38="","",0.6*I38+0.4*H38)</f>
        <v/>
      </c>
      <c r="K38">
        <f>IF(F38="","",IF(F38&lt;=0.33,"Low Movement",IF(F38&lt;=0.66,"Medium Movement","High Movement")))</f>
        <v/>
      </c>
      <c r="L38">
        <f>IF(J38="","",IF(J38&gt;=0.67,"High Value Bundle",IF(J38&gt;=0.34,"Medium Value Bundle","Low Value Bundle")))</f>
        <v/>
      </c>
      <c r="M38">
        <f>IF(A38="","",IF(AND(F38&gt;=0.66,H38&gt;=0.66),"Yes","No"))</f>
        <v/>
      </c>
      <c r="N38">
        <f>IF(A38="","",IF(K38="Low Movement","Yes","No"))</f>
        <v/>
      </c>
      <c r="O38" s="2">
        <f>IF(L38="","",IF(L38="High Value Bundle",0.10,IF(L38="Medium Value Bundle",0.15,0.20)))</f>
        <v/>
      </c>
      <c r="P38">
        <f>IF(M38="Yes",C38&amp;"|anchor","")</f>
        <v/>
      </c>
      <c r="Q38">
        <f>IF(M38="Yes",B38,"")</f>
        <v/>
      </c>
    </row>
    <row r="39">
      <c r="A39">
        <f>Input_Data!A39</f>
        <v/>
      </c>
      <c r="B39">
        <f>Input_Data!B39</f>
        <v/>
      </c>
      <c r="C39">
        <f>Input_Data!C39</f>
        <v/>
      </c>
      <c r="D39">
        <f>IF(A39="","",SUM(Input_Data!D39:I39))</f>
        <v/>
      </c>
      <c r="E39">
        <f>IF(D39="","",D39/6)</f>
        <v/>
      </c>
      <c r="F39" s="2">
        <f>IF(D39="","",IF(COUNTA($D$2:$D$300)&lt;=1,0,PERCENTRANK.INC($D$2:$D$300,D39)))</f>
        <v/>
      </c>
      <c r="G39" s="2">
        <f>Input_Data!J39</f>
        <v/>
      </c>
      <c r="H39" s="2">
        <f>IF(G39="","",IF(COUNTA($G$2:$G$300)&lt;=1,0,PERCENTRANK.INC($G$2:$G$300,G39)))</f>
        <v/>
      </c>
      <c r="I39" s="2">
        <f>IF(F39="","",1-F39)</f>
        <v/>
      </c>
      <c r="J39" s="2">
        <f>IF(A39="","",0.6*I39+0.4*H39)</f>
        <v/>
      </c>
      <c r="K39">
        <f>IF(F39="","",IF(F39&lt;=0.33,"Low Movement",IF(F39&lt;=0.66,"Medium Movement","High Movement")))</f>
        <v/>
      </c>
      <c r="L39">
        <f>IF(J39="","",IF(J39&gt;=0.67,"High Value Bundle",IF(J39&gt;=0.34,"Medium Value Bundle","Low Value Bundle")))</f>
        <v/>
      </c>
      <c r="M39">
        <f>IF(A39="","",IF(AND(F39&gt;=0.66,H39&gt;=0.66),"Yes","No"))</f>
        <v/>
      </c>
      <c r="N39">
        <f>IF(A39="","",IF(K39="Low Movement","Yes","No"))</f>
        <v/>
      </c>
      <c r="O39" s="2">
        <f>IF(L39="","",IF(L39="High Value Bundle",0.10,IF(L39="Medium Value Bundle",0.15,0.20)))</f>
        <v/>
      </c>
      <c r="P39">
        <f>IF(M39="Yes",C39&amp;"|anchor","")</f>
        <v/>
      </c>
      <c r="Q39">
        <f>IF(M39="Yes",B39,"")</f>
        <v/>
      </c>
    </row>
    <row r="40">
      <c r="A40">
        <f>Input_Data!A40</f>
        <v/>
      </c>
      <c r="B40">
        <f>Input_Data!B40</f>
        <v/>
      </c>
      <c r="C40">
        <f>Input_Data!C40</f>
        <v/>
      </c>
      <c r="D40">
        <f>IF(A40="","",SUM(Input_Data!D40:I40))</f>
        <v/>
      </c>
      <c r="E40">
        <f>IF(D40="","",D40/6)</f>
        <v/>
      </c>
      <c r="F40" s="2">
        <f>IF(D40="","",IF(COUNTA($D$2:$D$300)&lt;=1,0,PERCENTRANK.INC($D$2:$D$300,D40)))</f>
        <v/>
      </c>
      <c r="G40" s="2">
        <f>Input_Data!J40</f>
        <v/>
      </c>
      <c r="H40" s="2">
        <f>IF(G40="","",IF(COUNTA($G$2:$G$300)&lt;=1,0,PERCENTRANK.INC($G$2:$G$300,G40)))</f>
        <v/>
      </c>
      <c r="I40" s="2">
        <f>IF(F40="","",1-F40)</f>
        <v/>
      </c>
      <c r="J40" s="2">
        <f>IF(A40="","",0.6*I40+0.4*H40)</f>
        <v/>
      </c>
      <c r="K40">
        <f>IF(F40="","",IF(F40&lt;=0.33,"Low Movement",IF(F40&lt;=0.66,"Medium Movement","High Movement")))</f>
        <v/>
      </c>
      <c r="L40">
        <f>IF(J40="","",IF(J40&gt;=0.67,"High Value Bundle",IF(J40&gt;=0.34,"Medium Value Bundle","Low Value Bundle")))</f>
        <v/>
      </c>
      <c r="M40">
        <f>IF(A40="","",IF(AND(F40&gt;=0.66,H40&gt;=0.66),"Yes","No"))</f>
        <v/>
      </c>
      <c r="N40">
        <f>IF(A40="","",IF(K40="Low Movement","Yes","No"))</f>
        <v/>
      </c>
      <c r="O40" s="2">
        <f>IF(L40="","",IF(L40="High Value Bundle",0.10,IF(L40="Medium Value Bundle",0.15,0.20)))</f>
        <v/>
      </c>
      <c r="P40">
        <f>IF(M40="Yes",C40&amp;"|anchor","")</f>
        <v/>
      </c>
      <c r="Q40">
        <f>IF(M40="Yes",B40,"")</f>
        <v/>
      </c>
    </row>
    <row r="41">
      <c r="A41">
        <f>Input_Data!A41</f>
        <v/>
      </c>
      <c r="B41">
        <f>Input_Data!B41</f>
        <v/>
      </c>
      <c r="C41">
        <f>Input_Data!C41</f>
        <v/>
      </c>
      <c r="D41">
        <f>IF(A41="","",SUM(Input_Data!D41:I41))</f>
        <v/>
      </c>
      <c r="E41">
        <f>IF(D41="","",D41/6)</f>
        <v/>
      </c>
      <c r="F41" s="2">
        <f>IF(D41="","",IF(COUNTA($D$2:$D$300)&lt;=1,0,PERCENTRANK.INC($D$2:$D$300,D41)))</f>
        <v/>
      </c>
      <c r="G41" s="2">
        <f>Input_Data!J41</f>
        <v/>
      </c>
      <c r="H41" s="2">
        <f>IF(G41="","",IF(COUNTA($G$2:$G$300)&lt;=1,0,PERCENTRANK.INC($G$2:$G$300,G41)))</f>
        <v/>
      </c>
      <c r="I41" s="2">
        <f>IF(F41="","",1-F41)</f>
        <v/>
      </c>
      <c r="J41" s="2">
        <f>IF(A41="","",0.6*I41+0.4*H41)</f>
        <v/>
      </c>
      <c r="K41">
        <f>IF(F41="","",IF(F41&lt;=0.33,"Low Movement",IF(F41&lt;=0.66,"Medium Movement","High Movement")))</f>
        <v/>
      </c>
      <c r="L41">
        <f>IF(J41="","",IF(J41&gt;=0.67,"High Value Bundle",IF(J41&gt;=0.34,"Medium Value Bundle","Low Value Bundle")))</f>
        <v/>
      </c>
      <c r="M41">
        <f>IF(A41="","",IF(AND(F41&gt;=0.66,H41&gt;=0.66),"Yes","No"))</f>
        <v/>
      </c>
      <c r="N41">
        <f>IF(A41="","",IF(K41="Low Movement","Yes","No"))</f>
        <v/>
      </c>
      <c r="O41" s="2">
        <f>IF(L41="","",IF(L41="High Value Bundle",0.10,IF(L41="Medium Value Bundle",0.15,0.20)))</f>
        <v/>
      </c>
      <c r="P41">
        <f>IF(M41="Yes",C41&amp;"|anchor","")</f>
        <v/>
      </c>
      <c r="Q41">
        <f>IF(M41="Yes",B41,"")</f>
        <v/>
      </c>
    </row>
    <row r="42">
      <c r="A42">
        <f>Input_Data!A42</f>
        <v/>
      </c>
      <c r="B42">
        <f>Input_Data!B42</f>
        <v/>
      </c>
      <c r="C42">
        <f>Input_Data!C42</f>
        <v/>
      </c>
      <c r="D42">
        <f>IF(A42="","",SUM(Input_Data!D42:I42))</f>
        <v/>
      </c>
      <c r="E42">
        <f>IF(D42="","",D42/6)</f>
        <v/>
      </c>
      <c r="F42" s="2">
        <f>IF(D42="","",IF(COUNTA($D$2:$D$300)&lt;=1,0,PERCENTRANK.INC($D$2:$D$300,D42)))</f>
        <v/>
      </c>
      <c r="G42" s="2">
        <f>Input_Data!J42</f>
        <v/>
      </c>
      <c r="H42" s="2">
        <f>IF(G42="","",IF(COUNTA($G$2:$G$300)&lt;=1,0,PERCENTRANK.INC($G$2:$G$300,G42)))</f>
        <v/>
      </c>
      <c r="I42" s="2">
        <f>IF(F42="","",1-F42)</f>
        <v/>
      </c>
      <c r="J42" s="2">
        <f>IF(A42="","",0.6*I42+0.4*H42)</f>
        <v/>
      </c>
      <c r="K42">
        <f>IF(F42="","",IF(F42&lt;=0.33,"Low Movement",IF(F42&lt;=0.66,"Medium Movement","High Movement")))</f>
        <v/>
      </c>
      <c r="L42">
        <f>IF(J42="","",IF(J42&gt;=0.67,"High Value Bundle",IF(J42&gt;=0.34,"Medium Value Bundle","Low Value Bundle")))</f>
        <v/>
      </c>
      <c r="M42">
        <f>IF(A42="","",IF(AND(F42&gt;=0.66,H42&gt;=0.66),"Yes","No"))</f>
        <v/>
      </c>
      <c r="N42">
        <f>IF(A42="","",IF(K42="Low Movement","Yes","No"))</f>
        <v/>
      </c>
      <c r="O42" s="2">
        <f>IF(L42="","",IF(L42="High Value Bundle",0.10,IF(L42="Medium Value Bundle",0.15,0.20)))</f>
        <v/>
      </c>
      <c r="P42">
        <f>IF(M42="Yes",C42&amp;"|anchor","")</f>
        <v/>
      </c>
      <c r="Q42">
        <f>IF(M42="Yes",B42,"")</f>
        <v/>
      </c>
    </row>
    <row r="43">
      <c r="A43">
        <f>Input_Data!A43</f>
        <v/>
      </c>
      <c r="B43">
        <f>Input_Data!B43</f>
        <v/>
      </c>
      <c r="C43">
        <f>Input_Data!C43</f>
        <v/>
      </c>
      <c r="D43">
        <f>IF(A43="","",SUM(Input_Data!D43:I43))</f>
        <v/>
      </c>
      <c r="E43">
        <f>IF(D43="","",D43/6)</f>
        <v/>
      </c>
      <c r="F43" s="2">
        <f>IF(D43="","",IF(COUNTA($D$2:$D$300)&lt;=1,0,PERCENTRANK.INC($D$2:$D$300,D43)))</f>
        <v/>
      </c>
      <c r="G43" s="2">
        <f>Input_Data!J43</f>
        <v/>
      </c>
      <c r="H43" s="2">
        <f>IF(G43="","",IF(COUNTA($G$2:$G$300)&lt;=1,0,PERCENTRANK.INC($G$2:$G$300,G43)))</f>
        <v/>
      </c>
      <c r="I43" s="2">
        <f>IF(F43="","",1-F43)</f>
        <v/>
      </c>
      <c r="J43" s="2">
        <f>IF(A43="","",0.6*I43+0.4*H43)</f>
        <v/>
      </c>
      <c r="K43">
        <f>IF(F43="","",IF(F43&lt;=0.33,"Low Movement",IF(F43&lt;=0.66,"Medium Movement","High Movement")))</f>
        <v/>
      </c>
      <c r="L43">
        <f>IF(J43="","",IF(J43&gt;=0.67,"High Value Bundle",IF(J43&gt;=0.34,"Medium Value Bundle","Low Value Bundle")))</f>
        <v/>
      </c>
      <c r="M43">
        <f>IF(A43="","",IF(AND(F43&gt;=0.66,H43&gt;=0.66),"Yes","No"))</f>
        <v/>
      </c>
      <c r="N43">
        <f>IF(A43="","",IF(K43="Low Movement","Yes","No"))</f>
        <v/>
      </c>
      <c r="O43" s="2">
        <f>IF(L43="","",IF(L43="High Value Bundle",0.10,IF(L43="Medium Value Bundle",0.15,0.20)))</f>
        <v/>
      </c>
      <c r="P43">
        <f>IF(M43="Yes",C43&amp;"|anchor","")</f>
        <v/>
      </c>
      <c r="Q43">
        <f>IF(M43="Yes",B43,"")</f>
        <v/>
      </c>
    </row>
    <row r="44">
      <c r="A44">
        <f>Input_Data!A44</f>
        <v/>
      </c>
      <c r="B44">
        <f>Input_Data!B44</f>
        <v/>
      </c>
      <c r="C44">
        <f>Input_Data!C44</f>
        <v/>
      </c>
      <c r="D44">
        <f>IF(A44="","",SUM(Input_Data!D44:I44))</f>
        <v/>
      </c>
      <c r="E44">
        <f>IF(D44="","",D44/6)</f>
        <v/>
      </c>
      <c r="F44" s="2">
        <f>IF(D44="","",IF(COUNTA($D$2:$D$300)&lt;=1,0,PERCENTRANK.INC($D$2:$D$300,D44)))</f>
        <v/>
      </c>
      <c r="G44" s="2">
        <f>Input_Data!J44</f>
        <v/>
      </c>
      <c r="H44" s="2">
        <f>IF(G44="","",IF(COUNTA($G$2:$G$300)&lt;=1,0,PERCENTRANK.INC($G$2:$G$300,G44)))</f>
        <v/>
      </c>
      <c r="I44" s="2">
        <f>IF(F44="","",1-F44)</f>
        <v/>
      </c>
      <c r="J44" s="2">
        <f>IF(A44="","",0.6*I44+0.4*H44)</f>
        <v/>
      </c>
      <c r="K44">
        <f>IF(F44="","",IF(F44&lt;=0.33,"Low Movement",IF(F44&lt;=0.66,"Medium Movement","High Movement")))</f>
        <v/>
      </c>
      <c r="L44">
        <f>IF(J44="","",IF(J44&gt;=0.67,"High Value Bundle",IF(J44&gt;=0.34,"Medium Value Bundle","Low Value Bundle")))</f>
        <v/>
      </c>
      <c r="M44">
        <f>IF(A44="","",IF(AND(F44&gt;=0.66,H44&gt;=0.66),"Yes","No"))</f>
        <v/>
      </c>
      <c r="N44">
        <f>IF(A44="","",IF(K44="Low Movement","Yes","No"))</f>
        <v/>
      </c>
      <c r="O44" s="2">
        <f>IF(L44="","",IF(L44="High Value Bundle",0.10,IF(L44="Medium Value Bundle",0.15,0.20)))</f>
        <v/>
      </c>
      <c r="P44">
        <f>IF(M44="Yes",C44&amp;"|anchor","")</f>
        <v/>
      </c>
      <c r="Q44">
        <f>IF(M44="Yes",B44,"")</f>
        <v/>
      </c>
    </row>
    <row r="45">
      <c r="A45">
        <f>Input_Data!A45</f>
        <v/>
      </c>
      <c r="B45">
        <f>Input_Data!B45</f>
        <v/>
      </c>
      <c r="C45">
        <f>Input_Data!C45</f>
        <v/>
      </c>
      <c r="D45">
        <f>IF(A45="","",SUM(Input_Data!D45:I45))</f>
        <v/>
      </c>
      <c r="E45">
        <f>IF(D45="","",D45/6)</f>
        <v/>
      </c>
      <c r="F45" s="2">
        <f>IF(D45="","",IF(COUNTA($D$2:$D$300)&lt;=1,0,PERCENTRANK.INC($D$2:$D$300,D45)))</f>
        <v/>
      </c>
      <c r="G45" s="2">
        <f>Input_Data!J45</f>
        <v/>
      </c>
      <c r="H45" s="2">
        <f>IF(G45="","",IF(COUNTA($G$2:$G$300)&lt;=1,0,PERCENTRANK.INC($G$2:$G$300,G45)))</f>
        <v/>
      </c>
      <c r="I45" s="2">
        <f>IF(F45="","",1-F45)</f>
        <v/>
      </c>
      <c r="J45" s="2">
        <f>IF(A45="","",0.6*I45+0.4*H45)</f>
        <v/>
      </c>
      <c r="K45">
        <f>IF(F45="","",IF(F45&lt;=0.33,"Low Movement",IF(F45&lt;=0.66,"Medium Movement","High Movement")))</f>
        <v/>
      </c>
      <c r="L45">
        <f>IF(J45="","",IF(J45&gt;=0.67,"High Value Bundle",IF(J45&gt;=0.34,"Medium Value Bundle","Low Value Bundle")))</f>
        <v/>
      </c>
      <c r="M45">
        <f>IF(A45="","",IF(AND(F45&gt;=0.66,H45&gt;=0.66),"Yes","No"))</f>
        <v/>
      </c>
      <c r="N45">
        <f>IF(A45="","",IF(K45="Low Movement","Yes","No"))</f>
        <v/>
      </c>
      <c r="O45" s="2">
        <f>IF(L45="","",IF(L45="High Value Bundle",0.10,IF(L45="Medium Value Bundle",0.15,0.20)))</f>
        <v/>
      </c>
      <c r="P45">
        <f>IF(M45="Yes",C45&amp;"|anchor","")</f>
        <v/>
      </c>
      <c r="Q45">
        <f>IF(M45="Yes",B45,"")</f>
        <v/>
      </c>
    </row>
    <row r="46">
      <c r="A46">
        <f>Input_Data!A46</f>
        <v/>
      </c>
      <c r="B46">
        <f>Input_Data!B46</f>
        <v/>
      </c>
      <c r="C46">
        <f>Input_Data!C46</f>
        <v/>
      </c>
      <c r="D46">
        <f>IF(A46="","",SUM(Input_Data!D46:I46))</f>
        <v/>
      </c>
      <c r="E46">
        <f>IF(D46="","",D46/6)</f>
        <v/>
      </c>
      <c r="F46" s="2">
        <f>IF(D46="","",IF(COUNTA($D$2:$D$300)&lt;=1,0,PERCENTRANK.INC($D$2:$D$300,D46)))</f>
        <v/>
      </c>
      <c r="G46" s="2">
        <f>Input_Data!J46</f>
        <v/>
      </c>
      <c r="H46" s="2">
        <f>IF(G46="","",IF(COUNTA($G$2:$G$300)&lt;=1,0,PERCENTRANK.INC($G$2:$G$300,G46)))</f>
        <v/>
      </c>
      <c r="I46" s="2">
        <f>IF(F46="","",1-F46)</f>
        <v/>
      </c>
      <c r="J46" s="2">
        <f>IF(A46="","",0.6*I46+0.4*H46)</f>
        <v/>
      </c>
      <c r="K46">
        <f>IF(F46="","",IF(F46&lt;=0.33,"Low Movement",IF(F46&lt;=0.66,"Medium Movement","High Movement")))</f>
        <v/>
      </c>
      <c r="L46">
        <f>IF(J46="","",IF(J46&gt;=0.67,"High Value Bundle",IF(J46&gt;=0.34,"Medium Value Bundle","Low Value Bundle")))</f>
        <v/>
      </c>
      <c r="M46">
        <f>IF(A46="","",IF(AND(F46&gt;=0.66,H46&gt;=0.66),"Yes","No"))</f>
        <v/>
      </c>
      <c r="N46">
        <f>IF(A46="","",IF(K46="Low Movement","Yes","No"))</f>
        <v/>
      </c>
      <c r="O46" s="2">
        <f>IF(L46="","",IF(L46="High Value Bundle",0.10,IF(L46="Medium Value Bundle",0.15,0.20)))</f>
        <v/>
      </c>
      <c r="P46">
        <f>IF(M46="Yes",C46&amp;"|anchor","")</f>
        <v/>
      </c>
      <c r="Q46">
        <f>IF(M46="Yes",B46,"")</f>
        <v/>
      </c>
    </row>
    <row r="47">
      <c r="A47">
        <f>Input_Data!A47</f>
        <v/>
      </c>
      <c r="B47">
        <f>Input_Data!B47</f>
        <v/>
      </c>
      <c r="C47">
        <f>Input_Data!C47</f>
        <v/>
      </c>
      <c r="D47">
        <f>IF(A47="","",SUM(Input_Data!D47:I47))</f>
        <v/>
      </c>
      <c r="E47">
        <f>IF(D47="","",D47/6)</f>
        <v/>
      </c>
      <c r="F47" s="2">
        <f>IF(D47="","",IF(COUNTA($D$2:$D$300)&lt;=1,0,PERCENTRANK.INC($D$2:$D$300,D47)))</f>
        <v/>
      </c>
      <c r="G47" s="2">
        <f>Input_Data!J47</f>
        <v/>
      </c>
      <c r="H47" s="2">
        <f>IF(G47="","",IF(COUNTA($G$2:$G$300)&lt;=1,0,PERCENTRANK.INC($G$2:$G$300,G47)))</f>
        <v/>
      </c>
      <c r="I47" s="2">
        <f>IF(F47="","",1-F47)</f>
        <v/>
      </c>
      <c r="J47" s="2">
        <f>IF(A47="","",0.6*I47+0.4*H47)</f>
        <v/>
      </c>
      <c r="K47">
        <f>IF(F47="","",IF(F47&lt;=0.33,"Low Movement",IF(F47&lt;=0.66,"Medium Movement","High Movement")))</f>
        <v/>
      </c>
      <c r="L47">
        <f>IF(J47="","",IF(J47&gt;=0.67,"High Value Bundle",IF(J47&gt;=0.34,"Medium Value Bundle","Low Value Bundle")))</f>
        <v/>
      </c>
      <c r="M47">
        <f>IF(A47="","",IF(AND(F47&gt;=0.66,H47&gt;=0.66),"Yes","No"))</f>
        <v/>
      </c>
      <c r="N47">
        <f>IF(A47="","",IF(K47="Low Movement","Yes","No"))</f>
        <v/>
      </c>
      <c r="O47" s="2">
        <f>IF(L47="","",IF(L47="High Value Bundle",0.10,IF(L47="Medium Value Bundle",0.15,0.20)))</f>
        <v/>
      </c>
      <c r="P47">
        <f>IF(M47="Yes",C47&amp;"|anchor","")</f>
        <v/>
      </c>
      <c r="Q47">
        <f>IF(M47="Yes",B47,"")</f>
        <v/>
      </c>
    </row>
    <row r="48">
      <c r="A48">
        <f>Input_Data!A48</f>
        <v/>
      </c>
      <c r="B48">
        <f>Input_Data!B48</f>
        <v/>
      </c>
      <c r="C48">
        <f>Input_Data!C48</f>
        <v/>
      </c>
      <c r="D48">
        <f>IF(A48="","",SUM(Input_Data!D48:I48))</f>
        <v/>
      </c>
      <c r="E48">
        <f>IF(D48="","",D48/6)</f>
        <v/>
      </c>
      <c r="F48" s="2">
        <f>IF(D48="","",IF(COUNTA($D$2:$D$300)&lt;=1,0,PERCENTRANK.INC($D$2:$D$300,D48)))</f>
        <v/>
      </c>
      <c r="G48" s="2">
        <f>Input_Data!J48</f>
        <v/>
      </c>
      <c r="H48" s="2">
        <f>IF(G48="","",IF(COUNTA($G$2:$G$300)&lt;=1,0,PERCENTRANK.INC($G$2:$G$300,G48)))</f>
        <v/>
      </c>
      <c r="I48" s="2">
        <f>IF(F48="","",1-F48)</f>
        <v/>
      </c>
      <c r="J48" s="2">
        <f>IF(A48="","",0.6*I48+0.4*H48)</f>
        <v/>
      </c>
      <c r="K48">
        <f>IF(F48="","",IF(F48&lt;=0.33,"Low Movement",IF(F48&lt;=0.66,"Medium Movement","High Movement")))</f>
        <v/>
      </c>
      <c r="L48">
        <f>IF(J48="","",IF(J48&gt;=0.67,"High Value Bundle",IF(J48&gt;=0.34,"Medium Value Bundle","Low Value Bundle")))</f>
        <v/>
      </c>
      <c r="M48">
        <f>IF(A48="","",IF(AND(F48&gt;=0.66,H48&gt;=0.66),"Yes","No"))</f>
        <v/>
      </c>
      <c r="N48">
        <f>IF(A48="","",IF(K48="Low Movement","Yes","No"))</f>
        <v/>
      </c>
      <c r="O48" s="2">
        <f>IF(L48="","",IF(L48="High Value Bundle",0.10,IF(L48="Medium Value Bundle",0.15,0.20)))</f>
        <v/>
      </c>
      <c r="P48">
        <f>IF(M48="Yes",C48&amp;"|anchor","")</f>
        <v/>
      </c>
      <c r="Q48">
        <f>IF(M48="Yes",B48,"")</f>
        <v/>
      </c>
    </row>
    <row r="49">
      <c r="A49">
        <f>Input_Data!A49</f>
        <v/>
      </c>
      <c r="B49">
        <f>Input_Data!B49</f>
        <v/>
      </c>
      <c r="C49">
        <f>Input_Data!C49</f>
        <v/>
      </c>
      <c r="D49">
        <f>IF(A49="","",SUM(Input_Data!D49:I49))</f>
        <v/>
      </c>
      <c r="E49">
        <f>IF(D49="","",D49/6)</f>
        <v/>
      </c>
      <c r="F49" s="2">
        <f>IF(D49="","",IF(COUNTA($D$2:$D$300)&lt;=1,0,PERCENTRANK.INC($D$2:$D$300,D49)))</f>
        <v/>
      </c>
      <c r="G49" s="2">
        <f>Input_Data!J49</f>
        <v/>
      </c>
      <c r="H49" s="2">
        <f>IF(G49="","",IF(COUNTA($G$2:$G$300)&lt;=1,0,PERCENTRANK.INC($G$2:$G$300,G49)))</f>
        <v/>
      </c>
      <c r="I49" s="2">
        <f>IF(F49="","",1-F49)</f>
        <v/>
      </c>
      <c r="J49" s="2">
        <f>IF(A49="","",0.6*I49+0.4*H49)</f>
        <v/>
      </c>
      <c r="K49">
        <f>IF(F49="","",IF(F49&lt;=0.33,"Low Movement",IF(F49&lt;=0.66,"Medium Movement","High Movement")))</f>
        <v/>
      </c>
      <c r="L49">
        <f>IF(J49="","",IF(J49&gt;=0.67,"High Value Bundle",IF(J49&gt;=0.34,"Medium Value Bundle","Low Value Bundle")))</f>
        <v/>
      </c>
      <c r="M49">
        <f>IF(A49="","",IF(AND(F49&gt;=0.66,H49&gt;=0.66),"Yes","No"))</f>
        <v/>
      </c>
      <c r="N49">
        <f>IF(A49="","",IF(K49="Low Movement","Yes","No"))</f>
        <v/>
      </c>
      <c r="O49" s="2">
        <f>IF(L49="","",IF(L49="High Value Bundle",0.10,IF(L49="Medium Value Bundle",0.15,0.20)))</f>
        <v/>
      </c>
      <c r="P49">
        <f>IF(M49="Yes",C49&amp;"|anchor","")</f>
        <v/>
      </c>
      <c r="Q49">
        <f>IF(M49="Yes",B49,"")</f>
        <v/>
      </c>
    </row>
    <row r="50">
      <c r="A50">
        <f>Input_Data!A50</f>
        <v/>
      </c>
      <c r="B50">
        <f>Input_Data!B50</f>
        <v/>
      </c>
      <c r="C50">
        <f>Input_Data!C50</f>
        <v/>
      </c>
      <c r="D50">
        <f>IF(A50="","",SUM(Input_Data!D50:I50))</f>
        <v/>
      </c>
      <c r="E50">
        <f>IF(D50="","",D50/6)</f>
        <v/>
      </c>
      <c r="F50" s="2">
        <f>IF(D50="","",IF(COUNTA($D$2:$D$300)&lt;=1,0,PERCENTRANK.INC($D$2:$D$300,D50)))</f>
        <v/>
      </c>
      <c r="G50" s="2">
        <f>Input_Data!J50</f>
        <v/>
      </c>
      <c r="H50" s="2">
        <f>IF(G50="","",IF(COUNTA($G$2:$G$300)&lt;=1,0,PERCENTRANK.INC($G$2:$G$300,G50)))</f>
        <v/>
      </c>
      <c r="I50" s="2">
        <f>IF(F50="","",1-F50)</f>
        <v/>
      </c>
      <c r="J50" s="2">
        <f>IF(A50="","",0.6*I50+0.4*H50)</f>
        <v/>
      </c>
      <c r="K50">
        <f>IF(F50="","",IF(F50&lt;=0.33,"Low Movement",IF(F50&lt;=0.66,"Medium Movement","High Movement")))</f>
        <v/>
      </c>
      <c r="L50">
        <f>IF(J50="","",IF(J50&gt;=0.67,"High Value Bundle",IF(J50&gt;=0.34,"Medium Value Bundle","Low Value Bundle")))</f>
        <v/>
      </c>
      <c r="M50">
        <f>IF(A50="","",IF(AND(F50&gt;=0.66,H50&gt;=0.66),"Yes","No"))</f>
        <v/>
      </c>
      <c r="N50">
        <f>IF(A50="","",IF(K50="Low Movement","Yes","No"))</f>
        <v/>
      </c>
      <c r="O50" s="2">
        <f>IF(L50="","",IF(L50="High Value Bundle",0.10,IF(L50="Medium Value Bundle",0.15,0.20)))</f>
        <v/>
      </c>
      <c r="P50">
        <f>IF(M50="Yes",C50&amp;"|anchor","")</f>
        <v/>
      </c>
      <c r="Q50">
        <f>IF(M50="Yes",B50,"")</f>
        <v/>
      </c>
    </row>
    <row r="51">
      <c r="A51">
        <f>Input_Data!A51</f>
        <v/>
      </c>
      <c r="B51">
        <f>Input_Data!B51</f>
        <v/>
      </c>
      <c r="C51">
        <f>Input_Data!C51</f>
        <v/>
      </c>
      <c r="D51">
        <f>IF(A51="","",SUM(Input_Data!D51:I51))</f>
        <v/>
      </c>
      <c r="E51">
        <f>IF(D51="","",D51/6)</f>
        <v/>
      </c>
      <c r="F51" s="2">
        <f>IF(D51="","",IF(COUNTA($D$2:$D$300)&lt;=1,0,PERCENTRANK.INC($D$2:$D$300,D51)))</f>
        <v/>
      </c>
      <c r="G51" s="2">
        <f>Input_Data!J51</f>
        <v/>
      </c>
      <c r="H51" s="2">
        <f>IF(G51="","",IF(COUNTA($G$2:$G$300)&lt;=1,0,PERCENTRANK.INC($G$2:$G$300,G51)))</f>
        <v/>
      </c>
      <c r="I51" s="2">
        <f>IF(F51="","",1-F51)</f>
        <v/>
      </c>
      <c r="J51" s="2">
        <f>IF(A51="","",0.6*I51+0.4*H51)</f>
        <v/>
      </c>
      <c r="K51">
        <f>IF(F51="","",IF(F51&lt;=0.33,"Low Movement",IF(F51&lt;=0.66,"Medium Movement","High Movement")))</f>
        <v/>
      </c>
      <c r="L51">
        <f>IF(J51="","",IF(J51&gt;=0.67,"High Value Bundle",IF(J51&gt;=0.34,"Medium Value Bundle","Low Value Bundle")))</f>
        <v/>
      </c>
      <c r="M51">
        <f>IF(A51="","",IF(AND(F51&gt;=0.66,H51&gt;=0.66),"Yes","No"))</f>
        <v/>
      </c>
      <c r="N51">
        <f>IF(A51="","",IF(K51="Low Movement","Yes","No"))</f>
        <v/>
      </c>
      <c r="O51" s="2">
        <f>IF(L51="","",IF(L51="High Value Bundle",0.10,IF(L51="Medium Value Bundle",0.15,0.20)))</f>
        <v/>
      </c>
      <c r="P51">
        <f>IF(M51="Yes",C51&amp;"|anchor","")</f>
        <v/>
      </c>
      <c r="Q51">
        <f>IF(M51="Yes",B51,"")</f>
        <v/>
      </c>
    </row>
    <row r="52">
      <c r="A52">
        <f>Input_Data!A52</f>
        <v/>
      </c>
      <c r="B52">
        <f>Input_Data!B52</f>
        <v/>
      </c>
      <c r="C52">
        <f>Input_Data!C52</f>
        <v/>
      </c>
      <c r="D52">
        <f>IF(A52="","",SUM(Input_Data!D52:I52))</f>
        <v/>
      </c>
      <c r="E52">
        <f>IF(D52="","",D52/6)</f>
        <v/>
      </c>
      <c r="F52" s="2">
        <f>IF(D52="","",IF(COUNTA($D$2:$D$300)&lt;=1,0,PERCENTRANK.INC($D$2:$D$300,D52)))</f>
        <v/>
      </c>
      <c r="G52" s="2">
        <f>Input_Data!J52</f>
        <v/>
      </c>
      <c r="H52" s="2">
        <f>IF(G52="","",IF(COUNTA($G$2:$G$300)&lt;=1,0,PERCENTRANK.INC($G$2:$G$300,G52)))</f>
        <v/>
      </c>
      <c r="I52" s="2">
        <f>IF(F52="","",1-F52)</f>
        <v/>
      </c>
      <c r="J52" s="2">
        <f>IF(A52="","",0.6*I52+0.4*H52)</f>
        <v/>
      </c>
      <c r="K52">
        <f>IF(F52="","",IF(F52&lt;=0.33,"Low Movement",IF(F52&lt;=0.66,"Medium Movement","High Movement")))</f>
        <v/>
      </c>
      <c r="L52">
        <f>IF(J52="","",IF(J52&gt;=0.67,"High Value Bundle",IF(J52&gt;=0.34,"Medium Value Bundle","Low Value Bundle")))</f>
        <v/>
      </c>
      <c r="M52">
        <f>IF(A52="","",IF(AND(F52&gt;=0.66,H52&gt;=0.66),"Yes","No"))</f>
        <v/>
      </c>
      <c r="N52">
        <f>IF(A52="","",IF(K52="Low Movement","Yes","No"))</f>
        <v/>
      </c>
      <c r="O52" s="2">
        <f>IF(L52="","",IF(L52="High Value Bundle",0.10,IF(L52="Medium Value Bundle",0.15,0.20)))</f>
        <v/>
      </c>
      <c r="P52">
        <f>IF(M52="Yes",C52&amp;"|anchor","")</f>
        <v/>
      </c>
      <c r="Q52">
        <f>IF(M52="Yes",B52,"")</f>
        <v/>
      </c>
    </row>
    <row r="53">
      <c r="A53">
        <f>Input_Data!A53</f>
        <v/>
      </c>
      <c r="B53">
        <f>Input_Data!B53</f>
        <v/>
      </c>
      <c r="C53">
        <f>Input_Data!C53</f>
        <v/>
      </c>
      <c r="D53">
        <f>IF(A53="","",SUM(Input_Data!D53:I53))</f>
        <v/>
      </c>
      <c r="E53">
        <f>IF(D53="","",D53/6)</f>
        <v/>
      </c>
      <c r="F53" s="2">
        <f>IF(D53="","",IF(COUNTA($D$2:$D$300)&lt;=1,0,PERCENTRANK.INC($D$2:$D$300,D53)))</f>
        <v/>
      </c>
      <c r="G53" s="2">
        <f>Input_Data!J53</f>
        <v/>
      </c>
      <c r="H53" s="2">
        <f>IF(G53="","",IF(COUNTA($G$2:$G$300)&lt;=1,0,PERCENTRANK.INC($G$2:$G$300,G53)))</f>
        <v/>
      </c>
      <c r="I53" s="2">
        <f>IF(F53="","",1-F53)</f>
        <v/>
      </c>
      <c r="J53" s="2">
        <f>IF(A53="","",0.6*I53+0.4*H53)</f>
        <v/>
      </c>
      <c r="K53">
        <f>IF(F53="","",IF(F53&lt;=0.33,"Low Movement",IF(F53&lt;=0.66,"Medium Movement","High Movement")))</f>
        <v/>
      </c>
      <c r="L53">
        <f>IF(J53="","",IF(J53&gt;=0.67,"High Value Bundle",IF(J53&gt;=0.34,"Medium Value Bundle","Low Value Bundle")))</f>
        <v/>
      </c>
      <c r="M53">
        <f>IF(A53="","",IF(AND(F53&gt;=0.66,H53&gt;=0.66),"Yes","No"))</f>
        <v/>
      </c>
      <c r="N53">
        <f>IF(A53="","",IF(K53="Low Movement","Yes","No"))</f>
        <v/>
      </c>
      <c r="O53" s="2">
        <f>IF(L53="","",IF(L53="High Value Bundle",0.10,IF(L53="Medium Value Bundle",0.15,0.20)))</f>
        <v/>
      </c>
      <c r="P53">
        <f>IF(M53="Yes",C53&amp;"|anchor","")</f>
        <v/>
      </c>
      <c r="Q53">
        <f>IF(M53="Yes",B53,"")</f>
        <v/>
      </c>
    </row>
    <row r="54">
      <c r="A54">
        <f>Input_Data!A54</f>
        <v/>
      </c>
      <c r="B54">
        <f>Input_Data!B54</f>
        <v/>
      </c>
      <c r="C54">
        <f>Input_Data!C54</f>
        <v/>
      </c>
      <c r="D54">
        <f>IF(A54="","",SUM(Input_Data!D54:I54))</f>
        <v/>
      </c>
      <c r="E54">
        <f>IF(D54="","",D54/6)</f>
        <v/>
      </c>
      <c r="F54" s="2">
        <f>IF(D54="","",IF(COUNTA($D$2:$D$300)&lt;=1,0,PERCENTRANK.INC($D$2:$D$300,D54)))</f>
        <v/>
      </c>
      <c r="G54" s="2">
        <f>Input_Data!J54</f>
        <v/>
      </c>
      <c r="H54" s="2">
        <f>IF(G54="","",IF(COUNTA($G$2:$G$300)&lt;=1,0,PERCENTRANK.INC($G$2:$G$300,G54)))</f>
        <v/>
      </c>
      <c r="I54" s="2">
        <f>IF(F54="","",1-F54)</f>
        <v/>
      </c>
      <c r="J54" s="2">
        <f>IF(A54="","",0.6*I54+0.4*H54)</f>
        <v/>
      </c>
      <c r="K54">
        <f>IF(F54="","",IF(F54&lt;=0.33,"Low Movement",IF(F54&lt;=0.66,"Medium Movement","High Movement")))</f>
        <v/>
      </c>
      <c r="L54">
        <f>IF(J54="","",IF(J54&gt;=0.67,"High Value Bundle",IF(J54&gt;=0.34,"Medium Value Bundle","Low Value Bundle")))</f>
        <v/>
      </c>
      <c r="M54">
        <f>IF(A54="","",IF(AND(F54&gt;=0.66,H54&gt;=0.66),"Yes","No"))</f>
        <v/>
      </c>
      <c r="N54">
        <f>IF(A54="","",IF(K54="Low Movement","Yes","No"))</f>
        <v/>
      </c>
      <c r="O54" s="2">
        <f>IF(L54="","",IF(L54="High Value Bundle",0.10,IF(L54="Medium Value Bundle",0.15,0.20)))</f>
        <v/>
      </c>
      <c r="P54">
        <f>IF(M54="Yes",C54&amp;"|anchor","")</f>
        <v/>
      </c>
      <c r="Q54">
        <f>IF(M54="Yes",B54,"")</f>
        <v/>
      </c>
    </row>
    <row r="55">
      <c r="A55">
        <f>Input_Data!A55</f>
        <v/>
      </c>
      <c r="B55">
        <f>Input_Data!B55</f>
        <v/>
      </c>
      <c r="C55">
        <f>Input_Data!C55</f>
        <v/>
      </c>
      <c r="D55">
        <f>IF(A55="","",SUM(Input_Data!D55:I55))</f>
        <v/>
      </c>
      <c r="E55">
        <f>IF(D55="","",D55/6)</f>
        <v/>
      </c>
      <c r="F55" s="2">
        <f>IF(D55="","",IF(COUNTA($D$2:$D$300)&lt;=1,0,PERCENTRANK.INC($D$2:$D$300,D55)))</f>
        <v/>
      </c>
      <c r="G55" s="2">
        <f>Input_Data!J55</f>
        <v/>
      </c>
      <c r="H55" s="2">
        <f>IF(G55="","",IF(COUNTA($G$2:$G$300)&lt;=1,0,PERCENTRANK.INC($G$2:$G$300,G55)))</f>
        <v/>
      </c>
      <c r="I55" s="2">
        <f>IF(F55="","",1-F55)</f>
        <v/>
      </c>
      <c r="J55" s="2">
        <f>IF(A55="","",0.6*I55+0.4*H55)</f>
        <v/>
      </c>
      <c r="K55">
        <f>IF(F55="","",IF(F55&lt;=0.33,"Low Movement",IF(F55&lt;=0.66,"Medium Movement","High Movement")))</f>
        <v/>
      </c>
      <c r="L55">
        <f>IF(J55="","",IF(J55&gt;=0.67,"High Value Bundle",IF(J55&gt;=0.34,"Medium Value Bundle","Low Value Bundle")))</f>
        <v/>
      </c>
      <c r="M55">
        <f>IF(A55="","",IF(AND(F55&gt;=0.66,H55&gt;=0.66),"Yes","No"))</f>
        <v/>
      </c>
      <c r="N55">
        <f>IF(A55="","",IF(K55="Low Movement","Yes","No"))</f>
        <v/>
      </c>
      <c r="O55" s="2">
        <f>IF(L55="","",IF(L55="High Value Bundle",0.10,IF(L55="Medium Value Bundle",0.15,0.20)))</f>
        <v/>
      </c>
      <c r="P55">
        <f>IF(M55="Yes",C55&amp;"|anchor","")</f>
        <v/>
      </c>
      <c r="Q55">
        <f>IF(M55="Yes",B55,"")</f>
        <v/>
      </c>
    </row>
    <row r="56">
      <c r="A56">
        <f>Input_Data!A56</f>
        <v/>
      </c>
      <c r="B56">
        <f>Input_Data!B56</f>
        <v/>
      </c>
      <c r="C56">
        <f>Input_Data!C56</f>
        <v/>
      </c>
      <c r="D56">
        <f>IF(A56="","",SUM(Input_Data!D56:I56))</f>
        <v/>
      </c>
      <c r="E56">
        <f>IF(D56="","",D56/6)</f>
        <v/>
      </c>
      <c r="F56" s="2">
        <f>IF(D56="","",IF(COUNTA($D$2:$D$300)&lt;=1,0,PERCENTRANK.INC($D$2:$D$300,D56)))</f>
        <v/>
      </c>
      <c r="G56" s="2">
        <f>Input_Data!J56</f>
        <v/>
      </c>
      <c r="H56" s="2">
        <f>IF(G56="","",IF(COUNTA($G$2:$G$300)&lt;=1,0,PERCENTRANK.INC($G$2:$G$300,G56)))</f>
        <v/>
      </c>
      <c r="I56" s="2">
        <f>IF(F56="","",1-F56)</f>
        <v/>
      </c>
      <c r="J56" s="2">
        <f>IF(A56="","",0.6*I56+0.4*H56)</f>
        <v/>
      </c>
      <c r="K56">
        <f>IF(F56="","",IF(F56&lt;=0.33,"Low Movement",IF(F56&lt;=0.66,"Medium Movement","High Movement")))</f>
        <v/>
      </c>
      <c r="L56">
        <f>IF(J56="","",IF(J56&gt;=0.67,"High Value Bundle",IF(J56&gt;=0.34,"Medium Value Bundle","Low Value Bundle")))</f>
        <v/>
      </c>
      <c r="M56">
        <f>IF(A56="","",IF(AND(F56&gt;=0.66,H56&gt;=0.66),"Yes","No"))</f>
        <v/>
      </c>
      <c r="N56">
        <f>IF(A56="","",IF(K56="Low Movement","Yes","No"))</f>
        <v/>
      </c>
      <c r="O56" s="2">
        <f>IF(L56="","",IF(L56="High Value Bundle",0.10,IF(L56="Medium Value Bundle",0.15,0.20)))</f>
        <v/>
      </c>
      <c r="P56">
        <f>IF(M56="Yes",C56&amp;"|anchor","")</f>
        <v/>
      </c>
      <c r="Q56">
        <f>IF(M56="Yes",B56,"")</f>
        <v/>
      </c>
    </row>
    <row r="57">
      <c r="A57">
        <f>Input_Data!A57</f>
        <v/>
      </c>
      <c r="B57">
        <f>Input_Data!B57</f>
        <v/>
      </c>
      <c r="C57">
        <f>Input_Data!C57</f>
        <v/>
      </c>
      <c r="D57">
        <f>IF(A57="","",SUM(Input_Data!D57:I57))</f>
        <v/>
      </c>
      <c r="E57">
        <f>IF(D57="","",D57/6)</f>
        <v/>
      </c>
      <c r="F57" s="2">
        <f>IF(D57="","",IF(COUNTA($D$2:$D$300)&lt;=1,0,PERCENTRANK.INC($D$2:$D$300,D57)))</f>
        <v/>
      </c>
      <c r="G57" s="2">
        <f>Input_Data!J57</f>
        <v/>
      </c>
      <c r="H57" s="2">
        <f>IF(G57="","",IF(COUNTA($G$2:$G$300)&lt;=1,0,PERCENTRANK.INC($G$2:$G$300,G57)))</f>
        <v/>
      </c>
      <c r="I57" s="2">
        <f>IF(F57="","",1-F57)</f>
        <v/>
      </c>
      <c r="J57" s="2">
        <f>IF(A57="","",0.6*I57+0.4*H57)</f>
        <v/>
      </c>
      <c r="K57">
        <f>IF(F57="","",IF(F57&lt;=0.33,"Low Movement",IF(F57&lt;=0.66,"Medium Movement","High Movement")))</f>
        <v/>
      </c>
      <c r="L57">
        <f>IF(J57="","",IF(J57&gt;=0.67,"High Value Bundle",IF(J57&gt;=0.34,"Medium Value Bundle","Low Value Bundle")))</f>
        <v/>
      </c>
      <c r="M57">
        <f>IF(A57="","",IF(AND(F57&gt;=0.66,H57&gt;=0.66),"Yes","No"))</f>
        <v/>
      </c>
      <c r="N57">
        <f>IF(A57="","",IF(K57="Low Movement","Yes","No"))</f>
        <v/>
      </c>
      <c r="O57" s="2">
        <f>IF(L57="","",IF(L57="High Value Bundle",0.10,IF(L57="Medium Value Bundle",0.15,0.20)))</f>
        <v/>
      </c>
      <c r="P57">
        <f>IF(M57="Yes",C57&amp;"|anchor","")</f>
        <v/>
      </c>
      <c r="Q57">
        <f>IF(M57="Yes",B57,"")</f>
        <v/>
      </c>
    </row>
    <row r="58">
      <c r="A58">
        <f>Input_Data!A58</f>
        <v/>
      </c>
      <c r="B58">
        <f>Input_Data!B58</f>
        <v/>
      </c>
      <c r="C58">
        <f>Input_Data!C58</f>
        <v/>
      </c>
      <c r="D58">
        <f>IF(A58="","",SUM(Input_Data!D58:I58))</f>
        <v/>
      </c>
      <c r="E58">
        <f>IF(D58="","",D58/6)</f>
        <v/>
      </c>
      <c r="F58" s="2">
        <f>IF(D58="","",IF(COUNTA($D$2:$D$300)&lt;=1,0,PERCENTRANK.INC($D$2:$D$300,D58)))</f>
        <v/>
      </c>
      <c r="G58" s="2">
        <f>Input_Data!J58</f>
        <v/>
      </c>
      <c r="H58" s="2">
        <f>IF(G58="","",IF(COUNTA($G$2:$G$300)&lt;=1,0,PERCENTRANK.INC($G$2:$G$300,G58)))</f>
        <v/>
      </c>
      <c r="I58" s="2">
        <f>IF(F58="","",1-F58)</f>
        <v/>
      </c>
      <c r="J58" s="2">
        <f>IF(A58="","",0.6*I58+0.4*H58)</f>
        <v/>
      </c>
      <c r="K58">
        <f>IF(F58="","",IF(F58&lt;=0.33,"Low Movement",IF(F58&lt;=0.66,"Medium Movement","High Movement")))</f>
        <v/>
      </c>
      <c r="L58">
        <f>IF(J58="","",IF(J58&gt;=0.67,"High Value Bundle",IF(J58&gt;=0.34,"Medium Value Bundle","Low Value Bundle")))</f>
        <v/>
      </c>
      <c r="M58">
        <f>IF(A58="","",IF(AND(F58&gt;=0.66,H58&gt;=0.66),"Yes","No"))</f>
        <v/>
      </c>
      <c r="N58">
        <f>IF(A58="","",IF(K58="Low Movement","Yes","No"))</f>
        <v/>
      </c>
      <c r="O58" s="2">
        <f>IF(L58="","",IF(L58="High Value Bundle",0.10,IF(L58="Medium Value Bundle",0.15,0.20)))</f>
        <v/>
      </c>
      <c r="P58">
        <f>IF(M58="Yes",C58&amp;"|anchor","")</f>
        <v/>
      </c>
      <c r="Q58">
        <f>IF(M58="Yes",B58,"")</f>
        <v/>
      </c>
    </row>
    <row r="59">
      <c r="A59">
        <f>Input_Data!A59</f>
        <v/>
      </c>
      <c r="B59">
        <f>Input_Data!B59</f>
        <v/>
      </c>
      <c r="C59">
        <f>Input_Data!C59</f>
        <v/>
      </c>
      <c r="D59">
        <f>IF(A59="","",SUM(Input_Data!D59:I59))</f>
        <v/>
      </c>
      <c r="E59">
        <f>IF(D59="","",D59/6)</f>
        <v/>
      </c>
      <c r="F59" s="2">
        <f>IF(D59="","",IF(COUNTA($D$2:$D$300)&lt;=1,0,PERCENTRANK.INC($D$2:$D$300,D59)))</f>
        <v/>
      </c>
      <c r="G59" s="2">
        <f>Input_Data!J59</f>
        <v/>
      </c>
      <c r="H59" s="2">
        <f>IF(G59="","",IF(COUNTA($G$2:$G$300)&lt;=1,0,PERCENTRANK.INC($G$2:$G$300,G59)))</f>
        <v/>
      </c>
      <c r="I59" s="2">
        <f>IF(F59="","",1-F59)</f>
        <v/>
      </c>
      <c r="J59" s="2">
        <f>IF(A59="","",0.6*I59+0.4*H59)</f>
        <v/>
      </c>
      <c r="K59">
        <f>IF(F59="","",IF(F59&lt;=0.33,"Low Movement",IF(F59&lt;=0.66,"Medium Movement","High Movement")))</f>
        <v/>
      </c>
      <c r="L59">
        <f>IF(J59="","",IF(J59&gt;=0.67,"High Value Bundle",IF(J59&gt;=0.34,"Medium Value Bundle","Low Value Bundle")))</f>
        <v/>
      </c>
      <c r="M59">
        <f>IF(A59="","",IF(AND(F59&gt;=0.66,H59&gt;=0.66),"Yes","No"))</f>
        <v/>
      </c>
      <c r="N59">
        <f>IF(A59="","",IF(K59="Low Movement","Yes","No"))</f>
        <v/>
      </c>
      <c r="O59" s="2">
        <f>IF(L59="","",IF(L59="High Value Bundle",0.10,IF(L59="Medium Value Bundle",0.15,0.20)))</f>
        <v/>
      </c>
      <c r="P59">
        <f>IF(M59="Yes",C59&amp;"|anchor","")</f>
        <v/>
      </c>
      <c r="Q59">
        <f>IF(M59="Yes",B59,"")</f>
        <v/>
      </c>
    </row>
    <row r="60">
      <c r="A60">
        <f>Input_Data!A60</f>
        <v/>
      </c>
      <c r="B60">
        <f>Input_Data!B60</f>
        <v/>
      </c>
      <c r="C60">
        <f>Input_Data!C60</f>
        <v/>
      </c>
      <c r="D60">
        <f>IF(A60="","",SUM(Input_Data!D60:I60))</f>
        <v/>
      </c>
      <c r="E60">
        <f>IF(D60="","",D60/6)</f>
        <v/>
      </c>
      <c r="F60" s="2">
        <f>IF(D60="","",IF(COUNTA($D$2:$D$300)&lt;=1,0,PERCENTRANK.INC($D$2:$D$300,D60)))</f>
        <v/>
      </c>
      <c r="G60" s="2">
        <f>Input_Data!J60</f>
        <v/>
      </c>
      <c r="H60" s="2">
        <f>IF(G60="","",IF(COUNTA($G$2:$G$300)&lt;=1,0,PERCENTRANK.INC($G$2:$G$300,G60)))</f>
        <v/>
      </c>
      <c r="I60" s="2">
        <f>IF(F60="","",1-F60)</f>
        <v/>
      </c>
      <c r="J60" s="2">
        <f>IF(A60="","",0.6*I60+0.4*H60)</f>
        <v/>
      </c>
      <c r="K60">
        <f>IF(F60="","",IF(F60&lt;=0.33,"Low Movement",IF(F60&lt;=0.66,"Medium Movement","High Movement")))</f>
        <v/>
      </c>
      <c r="L60">
        <f>IF(J60="","",IF(J60&gt;=0.67,"High Value Bundle",IF(J60&gt;=0.34,"Medium Value Bundle","Low Value Bundle")))</f>
        <v/>
      </c>
      <c r="M60">
        <f>IF(A60="","",IF(AND(F60&gt;=0.66,H60&gt;=0.66),"Yes","No"))</f>
        <v/>
      </c>
      <c r="N60">
        <f>IF(A60="","",IF(K60="Low Movement","Yes","No"))</f>
        <v/>
      </c>
      <c r="O60" s="2">
        <f>IF(L60="","",IF(L60="High Value Bundle",0.10,IF(L60="Medium Value Bundle",0.15,0.20)))</f>
        <v/>
      </c>
      <c r="P60">
        <f>IF(M60="Yes",C60&amp;"|anchor","")</f>
        <v/>
      </c>
      <c r="Q60">
        <f>IF(M60="Yes",B60,"")</f>
        <v/>
      </c>
    </row>
    <row r="61">
      <c r="A61">
        <f>Input_Data!A61</f>
        <v/>
      </c>
      <c r="B61">
        <f>Input_Data!B61</f>
        <v/>
      </c>
      <c r="C61">
        <f>Input_Data!C61</f>
        <v/>
      </c>
      <c r="D61">
        <f>IF(A61="","",SUM(Input_Data!D61:I61))</f>
        <v/>
      </c>
      <c r="E61">
        <f>IF(D61="","",D61/6)</f>
        <v/>
      </c>
      <c r="F61" s="2">
        <f>IF(D61="","",IF(COUNTA($D$2:$D$300)&lt;=1,0,PERCENTRANK.INC($D$2:$D$300,D61)))</f>
        <v/>
      </c>
      <c r="G61" s="2">
        <f>Input_Data!J61</f>
        <v/>
      </c>
      <c r="H61" s="2">
        <f>IF(G61="","",IF(COUNTA($G$2:$G$300)&lt;=1,0,PERCENTRANK.INC($G$2:$G$300,G61)))</f>
        <v/>
      </c>
      <c r="I61" s="2">
        <f>IF(F61="","",1-F61)</f>
        <v/>
      </c>
      <c r="J61" s="2">
        <f>IF(A61="","",0.6*I61+0.4*H61)</f>
        <v/>
      </c>
      <c r="K61">
        <f>IF(F61="","",IF(F61&lt;=0.33,"Low Movement",IF(F61&lt;=0.66,"Medium Movement","High Movement")))</f>
        <v/>
      </c>
      <c r="L61">
        <f>IF(J61="","",IF(J61&gt;=0.67,"High Value Bundle",IF(J61&gt;=0.34,"Medium Value Bundle","Low Value Bundle")))</f>
        <v/>
      </c>
      <c r="M61">
        <f>IF(A61="","",IF(AND(F61&gt;=0.66,H61&gt;=0.66),"Yes","No"))</f>
        <v/>
      </c>
      <c r="N61">
        <f>IF(A61="","",IF(K61="Low Movement","Yes","No"))</f>
        <v/>
      </c>
      <c r="O61" s="2">
        <f>IF(L61="","",IF(L61="High Value Bundle",0.10,IF(L61="Medium Value Bundle",0.15,0.20)))</f>
        <v/>
      </c>
      <c r="P61">
        <f>IF(M61="Yes",C61&amp;"|anchor","")</f>
        <v/>
      </c>
      <c r="Q61">
        <f>IF(M61="Yes",B61,"")</f>
        <v/>
      </c>
    </row>
    <row r="62">
      <c r="A62">
        <f>Input_Data!A62</f>
        <v/>
      </c>
      <c r="B62">
        <f>Input_Data!B62</f>
        <v/>
      </c>
      <c r="C62">
        <f>Input_Data!C62</f>
        <v/>
      </c>
      <c r="D62">
        <f>IF(A62="","",SUM(Input_Data!D62:I62))</f>
        <v/>
      </c>
      <c r="E62">
        <f>IF(D62="","",D62/6)</f>
        <v/>
      </c>
      <c r="F62" s="2">
        <f>IF(D62="","",IF(COUNTA($D$2:$D$300)&lt;=1,0,PERCENTRANK.INC($D$2:$D$300,D62)))</f>
        <v/>
      </c>
      <c r="G62" s="2">
        <f>Input_Data!J62</f>
        <v/>
      </c>
      <c r="H62" s="2">
        <f>IF(G62="","",IF(COUNTA($G$2:$G$300)&lt;=1,0,PERCENTRANK.INC($G$2:$G$300,G62)))</f>
        <v/>
      </c>
      <c r="I62" s="2">
        <f>IF(F62="","",1-F62)</f>
        <v/>
      </c>
      <c r="J62" s="2">
        <f>IF(A62="","",0.6*I62+0.4*H62)</f>
        <v/>
      </c>
      <c r="K62">
        <f>IF(F62="","",IF(F62&lt;=0.33,"Low Movement",IF(F62&lt;=0.66,"Medium Movement","High Movement")))</f>
        <v/>
      </c>
      <c r="L62">
        <f>IF(J62="","",IF(J62&gt;=0.67,"High Value Bundle",IF(J62&gt;=0.34,"Medium Value Bundle","Low Value Bundle")))</f>
        <v/>
      </c>
      <c r="M62">
        <f>IF(A62="","",IF(AND(F62&gt;=0.66,H62&gt;=0.66),"Yes","No"))</f>
        <v/>
      </c>
      <c r="N62">
        <f>IF(A62="","",IF(K62="Low Movement","Yes","No"))</f>
        <v/>
      </c>
      <c r="O62" s="2">
        <f>IF(L62="","",IF(L62="High Value Bundle",0.10,IF(L62="Medium Value Bundle",0.15,0.20)))</f>
        <v/>
      </c>
      <c r="P62">
        <f>IF(M62="Yes",C62&amp;"|anchor","")</f>
        <v/>
      </c>
      <c r="Q62">
        <f>IF(M62="Yes",B62,"")</f>
        <v/>
      </c>
    </row>
    <row r="63">
      <c r="A63">
        <f>Input_Data!A63</f>
        <v/>
      </c>
      <c r="B63">
        <f>Input_Data!B63</f>
        <v/>
      </c>
      <c r="C63">
        <f>Input_Data!C63</f>
        <v/>
      </c>
      <c r="D63">
        <f>IF(A63="","",SUM(Input_Data!D63:I63))</f>
        <v/>
      </c>
      <c r="E63">
        <f>IF(D63="","",D63/6)</f>
        <v/>
      </c>
      <c r="F63" s="2">
        <f>IF(D63="","",IF(COUNTA($D$2:$D$300)&lt;=1,0,PERCENTRANK.INC($D$2:$D$300,D63)))</f>
        <v/>
      </c>
      <c r="G63" s="2">
        <f>Input_Data!J63</f>
        <v/>
      </c>
      <c r="H63" s="2">
        <f>IF(G63="","",IF(COUNTA($G$2:$G$300)&lt;=1,0,PERCENTRANK.INC($G$2:$G$300,G63)))</f>
        <v/>
      </c>
      <c r="I63" s="2">
        <f>IF(F63="","",1-F63)</f>
        <v/>
      </c>
      <c r="J63" s="2">
        <f>IF(A63="","",0.6*I63+0.4*H63)</f>
        <v/>
      </c>
      <c r="K63">
        <f>IF(F63="","",IF(F63&lt;=0.33,"Low Movement",IF(F63&lt;=0.66,"Medium Movement","High Movement")))</f>
        <v/>
      </c>
      <c r="L63">
        <f>IF(J63="","",IF(J63&gt;=0.67,"High Value Bundle",IF(J63&gt;=0.34,"Medium Value Bundle","Low Value Bundle")))</f>
        <v/>
      </c>
      <c r="M63">
        <f>IF(A63="","",IF(AND(F63&gt;=0.66,H63&gt;=0.66),"Yes","No"))</f>
        <v/>
      </c>
      <c r="N63">
        <f>IF(A63="","",IF(K63="Low Movement","Yes","No"))</f>
        <v/>
      </c>
      <c r="O63" s="2">
        <f>IF(L63="","",IF(L63="High Value Bundle",0.10,IF(L63="Medium Value Bundle",0.15,0.20)))</f>
        <v/>
      </c>
      <c r="P63">
        <f>IF(M63="Yes",C63&amp;"|anchor","")</f>
        <v/>
      </c>
      <c r="Q63">
        <f>IF(M63="Yes",B63,"")</f>
        <v/>
      </c>
    </row>
    <row r="64">
      <c r="A64">
        <f>Input_Data!A64</f>
        <v/>
      </c>
      <c r="B64">
        <f>Input_Data!B64</f>
        <v/>
      </c>
      <c r="C64">
        <f>Input_Data!C64</f>
        <v/>
      </c>
      <c r="D64">
        <f>IF(A64="","",SUM(Input_Data!D64:I64))</f>
        <v/>
      </c>
      <c r="E64">
        <f>IF(D64="","",D64/6)</f>
        <v/>
      </c>
      <c r="F64" s="2">
        <f>IF(D64="","",IF(COUNTA($D$2:$D$300)&lt;=1,0,PERCENTRANK.INC($D$2:$D$300,D64)))</f>
        <v/>
      </c>
      <c r="G64" s="2">
        <f>Input_Data!J64</f>
        <v/>
      </c>
      <c r="H64" s="2">
        <f>IF(G64="","",IF(COUNTA($G$2:$G$300)&lt;=1,0,PERCENTRANK.INC($G$2:$G$300,G64)))</f>
        <v/>
      </c>
      <c r="I64" s="2">
        <f>IF(F64="","",1-F64)</f>
        <v/>
      </c>
      <c r="J64" s="2">
        <f>IF(A64="","",0.6*I64+0.4*H64)</f>
        <v/>
      </c>
      <c r="K64">
        <f>IF(F64="","",IF(F64&lt;=0.33,"Low Movement",IF(F64&lt;=0.66,"Medium Movement","High Movement")))</f>
        <v/>
      </c>
      <c r="L64">
        <f>IF(J64="","",IF(J64&gt;=0.67,"High Value Bundle",IF(J64&gt;=0.34,"Medium Value Bundle","Low Value Bundle")))</f>
        <v/>
      </c>
      <c r="M64">
        <f>IF(A64="","",IF(AND(F64&gt;=0.66,H64&gt;=0.66),"Yes","No"))</f>
        <v/>
      </c>
      <c r="N64">
        <f>IF(A64="","",IF(K64="Low Movement","Yes","No"))</f>
        <v/>
      </c>
      <c r="O64" s="2">
        <f>IF(L64="","",IF(L64="High Value Bundle",0.10,IF(L64="Medium Value Bundle",0.15,0.20)))</f>
        <v/>
      </c>
      <c r="P64">
        <f>IF(M64="Yes",C64&amp;"|anchor","")</f>
        <v/>
      </c>
      <c r="Q64">
        <f>IF(M64="Yes",B64,"")</f>
        <v/>
      </c>
    </row>
    <row r="65">
      <c r="A65">
        <f>Input_Data!A65</f>
        <v/>
      </c>
      <c r="B65">
        <f>Input_Data!B65</f>
        <v/>
      </c>
      <c r="C65">
        <f>Input_Data!C65</f>
        <v/>
      </c>
      <c r="D65">
        <f>IF(A65="","",SUM(Input_Data!D65:I65))</f>
        <v/>
      </c>
      <c r="E65">
        <f>IF(D65="","",D65/6)</f>
        <v/>
      </c>
      <c r="F65" s="2">
        <f>IF(D65="","",IF(COUNTA($D$2:$D$300)&lt;=1,0,PERCENTRANK.INC($D$2:$D$300,D65)))</f>
        <v/>
      </c>
      <c r="G65" s="2">
        <f>Input_Data!J65</f>
        <v/>
      </c>
      <c r="H65" s="2">
        <f>IF(G65="","",IF(COUNTA($G$2:$G$300)&lt;=1,0,PERCENTRANK.INC($G$2:$G$300,G65)))</f>
        <v/>
      </c>
      <c r="I65" s="2">
        <f>IF(F65="","",1-F65)</f>
        <v/>
      </c>
      <c r="J65" s="2">
        <f>IF(A65="","",0.6*I65+0.4*H65)</f>
        <v/>
      </c>
      <c r="K65">
        <f>IF(F65="","",IF(F65&lt;=0.33,"Low Movement",IF(F65&lt;=0.66,"Medium Movement","High Movement")))</f>
        <v/>
      </c>
      <c r="L65">
        <f>IF(J65="","",IF(J65&gt;=0.67,"High Value Bundle",IF(J65&gt;=0.34,"Medium Value Bundle","Low Value Bundle")))</f>
        <v/>
      </c>
      <c r="M65">
        <f>IF(A65="","",IF(AND(F65&gt;=0.66,H65&gt;=0.66),"Yes","No"))</f>
        <v/>
      </c>
      <c r="N65">
        <f>IF(A65="","",IF(K65="Low Movement","Yes","No"))</f>
        <v/>
      </c>
      <c r="O65" s="2">
        <f>IF(L65="","",IF(L65="High Value Bundle",0.10,IF(L65="Medium Value Bundle",0.15,0.20)))</f>
        <v/>
      </c>
      <c r="P65">
        <f>IF(M65="Yes",C65&amp;"|anchor","")</f>
        <v/>
      </c>
      <c r="Q65">
        <f>IF(M65="Yes",B65,"")</f>
        <v/>
      </c>
    </row>
    <row r="66">
      <c r="A66">
        <f>Input_Data!A66</f>
        <v/>
      </c>
      <c r="B66">
        <f>Input_Data!B66</f>
        <v/>
      </c>
      <c r="C66">
        <f>Input_Data!C66</f>
        <v/>
      </c>
      <c r="D66">
        <f>IF(A66="","",SUM(Input_Data!D66:I66))</f>
        <v/>
      </c>
      <c r="E66">
        <f>IF(D66="","",D66/6)</f>
        <v/>
      </c>
      <c r="F66" s="2">
        <f>IF(D66="","",IF(COUNTA($D$2:$D$300)&lt;=1,0,PERCENTRANK.INC($D$2:$D$300,D66)))</f>
        <v/>
      </c>
      <c r="G66" s="2">
        <f>Input_Data!J66</f>
        <v/>
      </c>
      <c r="H66" s="2">
        <f>IF(G66="","",IF(COUNTA($G$2:$G$300)&lt;=1,0,PERCENTRANK.INC($G$2:$G$300,G66)))</f>
        <v/>
      </c>
      <c r="I66" s="2">
        <f>IF(F66="","",1-F66)</f>
        <v/>
      </c>
      <c r="J66" s="2">
        <f>IF(A66="","",0.6*I66+0.4*H66)</f>
        <v/>
      </c>
      <c r="K66">
        <f>IF(F66="","",IF(F66&lt;=0.33,"Low Movement",IF(F66&lt;=0.66,"Medium Movement","High Movement")))</f>
        <v/>
      </c>
      <c r="L66">
        <f>IF(J66="","",IF(J66&gt;=0.67,"High Value Bundle",IF(J66&gt;=0.34,"Medium Value Bundle","Low Value Bundle")))</f>
        <v/>
      </c>
      <c r="M66">
        <f>IF(A66="","",IF(AND(F66&gt;=0.66,H66&gt;=0.66),"Yes","No"))</f>
        <v/>
      </c>
      <c r="N66">
        <f>IF(A66="","",IF(K66="Low Movement","Yes","No"))</f>
        <v/>
      </c>
      <c r="O66" s="2">
        <f>IF(L66="","",IF(L66="High Value Bundle",0.10,IF(L66="Medium Value Bundle",0.15,0.20)))</f>
        <v/>
      </c>
      <c r="P66">
        <f>IF(M66="Yes",C66&amp;"|anchor","")</f>
        <v/>
      </c>
      <c r="Q66">
        <f>IF(M66="Yes",B66,"")</f>
        <v/>
      </c>
    </row>
    <row r="67">
      <c r="A67">
        <f>Input_Data!A67</f>
        <v/>
      </c>
      <c r="B67">
        <f>Input_Data!B67</f>
        <v/>
      </c>
      <c r="C67">
        <f>Input_Data!C67</f>
        <v/>
      </c>
      <c r="D67">
        <f>IF(A67="","",SUM(Input_Data!D67:I67))</f>
        <v/>
      </c>
      <c r="E67">
        <f>IF(D67="","",D67/6)</f>
        <v/>
      </c>
      <c r="F67" s="2">
        <f>IF(D67="","",IF(COUNTA($D$2:$D$300)&lt;=1,0,PERCENTRANK.INC($D$2:$D$300,D67)))</f>
        <v/>
      </c>
      <c r="G67" s="2">
        <f>Input_Data!J67</f>
        <v/>
      </c>
      <c r="H67" s="2">
        <f>IF(G67="","",IF(COUNTA($G$2:$G$300)&lt;=1,0,PERCENTRANK.INC($G$2:$G$300,G67)))</f>
        <v/>
      </c>
      <c r="I67" s="2">
        <f>IF(F67="","",1-F67)</f>
        <v/>
      </c>
      <c r="J67" s="2">
        <f>IF(A67="","",0.6*I67+0.4*H67)</f>
        <v/>
      </c>
      <c r="K67">
        <f>IF(F67="","",IF(F67&lt;=0.33,"Low Movement",IF(F67&lt;=0.66,"Medium Movement","High Movement")))</f>
        <v/>
      </c>
      <c r="L67">
        <f>IF(J67="","",IF(J67&gt;=0.67,"High Value Bundle",IF(J67&gt;=0.34,"Medium Value Bundle","Low Value Bundle")))</f>
        <v/>
      </c>
      <c r="M67">
        <f>IF(A67="","",IF(AND(F67&gt;=0.66,H67&gt;=0.66),"Yes","No"))</f>
        <v/>
      </c>
      <c r="N67">
        <f>IF(A67="","",IF(K67="Low Movement","Yes","No"))</f>
        <v/>
      </c>
      <c r="O67" s="2">
        <f>IF(L67="","",IF(L67="High Value Bundle",0.10,IF(L67="Medium Value Bundle",0.15,0.20)))</f>
        <v/>
      </c>
      <c r="P67">
        <f>IF(M67="Yes",C67&amp;"|anchor","")</f>
        <v/>
      </c>
      <c r="Q67">
        <f>IF(M67="Yes",B67,"")</f>
        <v/>
      </c>
    </row>
    <row r="68">
      <c r="A68">
        <f>Input_Data!A68</f>
        <v/>
      </c>
      <c r="B68">
        <f>Input_Data!B68</f>
        <v/>
      </c>
      <c r="C68">
        <f>Input_Data!C68</f>
        <v/>
      </c>
      <c r="D68">
        <f>IF(A68="","",SUM(Input_Data!D68:I68))</f>
        <v/>
      </c>
      <c r="E68">
        <f>IF(D68="","",D68/6)</f>
        <v/>
      </c>
      <c r="F68" s="2">
        <f>IF(D68="","",IF(COUNTA($D$2:$D$300)&lt;=1,0,PERCENTRANK.INC($D$2:$D$300,D68)))</f>
        <v/>
      </c>
      <c r="G68" s="2">
        <f>Input_Data!J68</f>
        <v/>
      </c>
      <c r="H68" s="2">
        <f>IF(G68="","",IF(COUNTA($G$2:$G$300)&lt;=1,0,PERCENTRANK.INC($G$2:$G$300,G68)))</f>
        <v/>
      </c>
      <c r="I68" s="2">
        <f>IF(F68="","",1-F68)</f>
        <v/>
      </c>
      <c r="J68" s="2">
        <f>IF(A68="","",0.6*I68+0.4*H68)</f>
        <v/>
      </c>
      <c r="K68">
        <f>IF(F68="","",IF(F68&lt;=0.33,"Low Movement",IF(F68&lt;=0.66,"Medium Movement","High Movement")))</f>
        <v/>
      </c>
      <c r="L68">
        <f>IF(J68="","",IF(J68&gt;=0.67,"High Value Bundle",IF(J68&gt;=0.34,"Medium Value Bundle","Low Value Bundle")))</f>
        <v/>
      </c>
      <c r="M68">
        <f>IF(A68="","",IF(AND(F68&gt;=0.66,H68&gt;=0.66),"Yes","No"))</f>
        <v/>
      </c>
      <c r="N68">
        <f>IF(A68="","",IF(K68="Low Movement","Yes","No"))</f>
        <v/>
      </c>
      <c r="O68" s="2">
        <f>IF(L68="","",IF(L68="High Value Bundle",0.10,IF(L68="Medium Value Bundle",0.15,0.20)))</f>
        <v/>
      </c>
      <c r="P68">
        <f>IF(M68="Yes",C68&amp;"|anchor","")</f>
        <v/>
      </c>
      <c r="Q68">
        <f>IF(M68="Yes",B68,"")</f>
        <v/>
      </c>
    </row>
    <row r="69">
      <c r="A69">
        <f>Input_Data!A69</f>
        <v/>
      </c>
      <c r="B69">
        <f>Input_Data!B69</f>
        <v/>
      </c>
      <c r="C69">
        <f>Input_Data!C69</f>
        <v/>
      </c>
      <c r="D69">
        <f>IF(A69="","",SUM(Input_Data!D69:I69))</f>
        <v/>
      </c>
      <c r="E69">
        <f>IF(D69="","",D69/6)</f>
        <v/>
      </c>
      <c r="F69" s="2">
        <f>IF(D69="","",IF(COUNTA($D$2:$D$300)&lt;=1,0,PERCENTRANK.INC($D$2:$D$300,D69)))</f>
        <v/>
      </c>
      <c r="G69" s="2">
        <f>Input_Data!J69</f>
        <v/>
      </c>
      <c r="H69" s="2">
        <f>IF(G69="","",IF(COUNTA($G$2:$G$300)&lt;=1,0,PERCENTRANK.INC($G$2:$G$300,G69)))</f>
        <v/>
      </c>
      <c r="I69" s="2">
        <f>IF(F69="","",1-F69)</f>
        <v/>
      </c>
      <c r="J69" s="2">
        <f>IF(A69="","",0.6*I69+0.4*H69)</f>
        <v/>
      </c>
      <c r="K69">
        <f>IF(F69="","",IF(F69&lt;=0.33,"Low Movement",IF(F69&lt;=0.66,"Medium Movement","High Movement")))</f>
        <v/>
      </c>
      <c r="L69">
        <f>IF(J69="","",IF(J69&gt;=0.67,"High Value Bundle",IF(J69&gt;=0.34,"Medium Value Bundle","Low Value Bundle")))</f>
        <v/>
      </c>
      <c r="M69">
        <f>IF(A69="","",IF(AND(F69&gt;=0.66,H69&gt;=0.66),"Yes","No"))</f>
        <v/>
      </c>
      <c r="N69">
        <f>IF(A69="","",IF(K69="Low Movement","Yes","No"))</f>
        <v/>
      </c>
      <c r="O69" s="2">
        <f>IF(L69="","",IF(L69="High Value Bundle",0.10,IF(L69="Medium Value Bundle",0.15,0.20)))</f>
        <v/>
      </c>
      <c r="P69">
        <f>IF(M69="Yes",C69&amp;"|anchor","")</f>
        <v/>
      </c>
      <c r="Q69">
        <f>IF(M69="Yes",B69,"")</f>
        <v/>
      </c>
    </row>
    <row r="70">
      <c r="A70">
        <f>Input_Data!A70</f>
        <v/>
      </c>
      <c r="B70">
        <f>Input_Data!B70</f>
        <v/>
      </c>
      <c r="C70">
        <f>Input_Data!C70</f>
        <v/>
      </c>
      <c r="D70">
        <f>IF(A70="","",SUM(Input_Data!D70:I70))</f>
        <v/>
      </c>
      <c r="E70">
        <f>IF(D70="","",D70/6)</f>
        <v/>
      </c>
      <c r="F70" s="2">
        <f>IF(D70="","",IF(COUNTA($D$2:$D$300)&lt;=1,0,PERCENTRANK.INC($D$2:$D$300,D70)))</f>
        <v/>
      </c>
      <c r="G70" s="2">
        <f>Input_Data!J70</f>
        <v/>
      </c>
      <c r="H70" s="2">
        <f>IF(G70="","",IF(COUNTA($G$2:$G$300)&lt;=1,0,PERCENTRANK.INC($G$2:$G$300,G70)))</f>
        <v/>
      </c>
      <c r="I70" s="2">
        <f>IF(F70="","",1-F70)</f>
        <v/>
      </c>
      <c r="J70" s="2">
        <f>IF(A70="","",0.6*I70+0.4*H70)</f>
        <v/>
      </c>
      <c r="K70">
        <f>IF(F70="","",IF(F70&lt;=0.33,"Low Movement",IF(F70&lt;=0.66,"Medium Movement","High Movement")))</f>
        <v/>
      </c>
      <c r="L70">
        <f>IF(J70="","",IF(J70&gt;=0.67,"High Value Bundle",IF(J70&gt;=0.34,"Medium Value Bundle","Low Value Bundle")))</f>
        <v/>
      </c>
      <c r="M70">
        <f>IF(A70="","",IF(AND(F70&gt;=0.66,H70&gt;=0.66),"Yes","No"))</f>
        <v/>
      </c>
      <c r="N70">
        <f>IF(A70="","",IF(K70="Low Movement","Yes","No"))</f>
        <v/>
      </c>
      <c r="O70" s="2">
        <f>IF(L70="","",IF(L70="High Value Bundle",0.10,IF(L70="Medium Value Bundle",0.15,0.20)))</f>
        <v/>
      </c>
      <c r="P70">
        <f>IF(M70="Yes",C70&amp;"|anchor","")</f>
        <v/>
      </c>
      <c r="Q70">
        <f>IF(M70="Yes",B70,"")</f>
        <v/>
      </c>
    </row>
    <row r="71">
      <c r="A71">
        <f>Input_Data!A71</f>
        <v/>
      </c>
      <c r="B71">
        <f>Input_Data!B71</f>
        <v/>
      </c>
      <c r="C71">
        <f>Input_Data!C71</f>
        <v/>
      </c>
      <c r="D71">
        <f>IF(A71="","",SUM(Input_Data!D71:I71))</f>
        <v/>
      </c>
      <c r="E71">
        <f>IF(D71="","",D71/6)</f>
        <v/>
      </c>
      <c r="F71" s="2">
        <f>IF(D71="","",IF(COUNTA($D$2:$D$300)&lt;=1,0,PERCENTRANK.INC($D$2:$D$300,D71)))</f>
        <v/>
      </c>
      <c r="G71" s="2">
        <f>Input_Data!J71</f>
        <v/>
      </c>
      <c r="H71" s="2">
        <f>IF(G71="","",IF(COUNTA($G$2:$G$300)&lt;=1,0,PERCENTRANK.INC($G$2:$G$300,G71)))</f>
        <v/>
      </c>
      <c r="I71" s="2">
        <f>IF(F71="","",1-F71)</f>
        <v/>
      </c>
      <c r="J71" s="2">
        <f>IF(A71="","",0.6*I71+0.4*H71)</f>
        <v/>
      </c>
      <c r="K71">
        <f>IF(F71="","",IF(F71&lt;=0.33,"Low Movement",IF(F71&lt;=0.66,"Medium Movement","High Movement")))</f>
        <v/>
      </c>
      <c r="L71">
        <f>IF(J71="","",IF(J71&gt;=0.67,"High Value Bundle",IF(J71&gt;=0.34,"Medium Value Bundle","Low Value Bundle")))</f>
        <v/>
      </c>
      <c r="M71">
        <f>IF(A71="","",IF(AND(F71&gt;=0.66,H71&gt;=0.66),"Yes","No"))</f>
        <v/>
      </c>
      <c r="N71">
        <f>IF(A71="","",IF(K71="Low Movement","Yes","No"))</f>
        <v/>
      </c>
      <c r="O71" s="2">
        <f>IF(L71="","",IF(L71="High Value Bundle",0.10,IF(L71="Medium Value Bundle",0.15,0.20)))</f>
        <v/>
      </c>
      <c r="P71">
        <f>IF(M71="Yes",C71&amp;"|anchor","")</f>
        <v/>
      </c>
      <c r="Q71">
        <f>IF(M71="Yes",B71,"")</f>
        <v/>
      </c>
    </row>
    <row r="72">
      <c r="A72">
        <f>Input_Data!A72</f>
        <v/>
      </c>
      <c r="B72">
        <f>Input_Data!B72</f>
        <v/>
      </c>
      <c r="C72">
        <f>Input_Data!C72</f>
        <v/>
      </c>
      <c r="D72">
        <f>IF(A72="","",SUM(Input_Data!D72:I72))</f>
        <v/>
      </c>
      <c r="E72">
        <f>IF(D72="","",D72/6)</f>
        <v/>
      </c>
      <c r="F72" s="2">
        <f>IF(D72="","",IF(COUNTA($D$2:$D$300)&lt;=1,0,PERCENTRANK.INC($D$2:$D$300,D72)))</f>
        <v/>
      </c>
      <c r="G72" s="2">
        <f>Input_Data!J72</f>
        <v/>
      </c>
      <c r="H72" s="2">
        <f>IF(G72="","",IF(COUNTA($G$2:$G$300)&lt;=1,0,PERCENTRANK.INC($G$2:$G$300,G72)))</f>
        <v/>
      </c>
      <c r="I72" s="2">
        <f>IF(F72="","",1-F72)</f>
        <v/>
      </c>
      <c r="J72" s="2">
        <f>IF(A72="","",0.6*I72+0.4*H72)</f>
        <v/>
      </c>
      <c r="K72">
        <f>IF(F72="","",IF(F72&lt;=0.33,"Low Movement",IF(F72&lt;=0.66,"Medium Movement","High Movement")))</f>
        <v/>
      </c>
      <c r="L72">
        <f>IF(J72="","",IF(J72&gt;=0.67,"High Value Bundle",IF(J72&gt;=0.34,"Medium Value Bundle","Low Value Bundle")))</f>
        <v/>
      </c>
      <c r="M72">
        <f>IF(A72="","",IF(AND(F72&gt;=0.66,H72&gt;=0.66),"Yes","No"))</f>
        <v/>
      </c>
      <c r="N72">
        <f>IF(A72="","",IF(K72="Low Movement","Yes","No"))</f>
        <v/>
      </c>
      <c r="O72" s="2">
        <f>IF(L72="","",IF(L72="High Value Bundle",0.10,IF(L72="Medium Value Bundle",0.15,0.20)))</f>
        <v/>
      </c>
      <c r="P72">
        <f>IF(M72="Yes",C72&amp;"|anchor","")</f>
        <v/>
      </c>
      <c r="Q72">
        <f>IF(M72="Yes",B72,"")</f>
        <v/>
      </c>
    </row>
    <row r="73">
      <c r="A73">
        <f>Input_Data!A73</f>
        <v/>
      </c>
      <c r="B73">
        <f>Input_Data!B73</f>
        <v/>
      </c>
      <c r="C73">
        <f>Input_Data!C73</f>
        <v/>
      </c>
      <c r="D73">
        <f>IF(A73="","",SUM(Input_Data!D73:I73))</f>
        <v/>
      </c>
      <c r="E73">
        <f>IF(D73="","",D73/6)</f>
        <v/>
      </c>
      <c r="F73" s="2">
        <f>IF(D73="","",IF(COUNTA($D$2:$D$300)&lt;=1,0,PERCENTRANK.INC($D$2:$D$300,D73)))</f>
        <v/>
      </c>
      <c r="G73" s="2">
        <f>Input_Data!J73</f>
        <v/>
      </c>
      <c r="H73" s="2">
        <f>IF(G73="","",IF(COUNTA($G$2:$G$300)&lt;=1,0,PERCENTRANK.INC($G$2:$G$300,G73)))</f>
        <v/>
      </c>
      <c r="I73" s="2">
        <f>IF(F73="","",1-F73)</f>
        <v/>
      </c>
      <c r="J73" s="2">
        <f>IF(A73="","",0.6*I73+0.4*H73)</f>
        <v/>
      </c>
      <c r="K73">
        <f>IF(F73="","",IF(F73&lt;=0.33,"Low Movement",IF(F73&lt;=0.66,"Medium Movement","High Movement")))</f>
        <v/>
      </c>
      <c r="L73">
        <f>IF(J73="","",IF(J73&gt;=0.67,"High Value Bundle",IF(J73&gt;=0.34,"Medium Value Bundle","Low Value Bundle")))</f>
        <v/>
      </c>
      <c r="M73">
        <f>IF(A73="","",IF(AND(F73&gt;=0.66,H73&gt;=0.66),"Yes","No"))</f>
        <v/>
      </c>
      <c r="N73">
        <f>IF(A73="","",IF(K73="Low Movement","Yes","No"))</f>
        <v/>
      </c>
      <c r="O73" s="2">
        <f>IF(L73="","",IF(L73="High Value Bundle",0.10,IF(L73="Medium Value Bundle",0.15,0.20)))</f>
        <v/>
      </c>
      <c r="P73">
        <f>IF(M73="Yes",C73&amp;"|anchor","")</f>
        <v/>
      </c>
      <c r="Q73">
        <f>IF(M73="Yes",B73,"")</f>
        <v/>
      </c>
    </row>
    <row r="74">
      <c r="A74">
        <f>Input_Data!A74</f>
        <v/>
      </c>
      <c r="B74">
        <f>Input_Data!B74</f>
        <v/>
      </c>
      <c r="C74">
        <f>Input_Data!C74</f>
        <v/>
      </c>
      <c r="D74">
        <f>IF(A74="","",SUM(Input_Data!D74:I74))</f>
        <v/>
      </c>
      <c r="E74">
        <f>IF(D74="","",D74/6)</f>
        <v/>
      </c>
      <c r="F74" s="2">
        <f>IF(D74="","",IF(COUNTA($D$2:$D$300)&lt;=1,0,PERCENTRANK.INC($D$2:$D$300,D74)))</f>
        <v/>
      </c>
      <c r="G74" s="2">
        <f>Input_Data!J74</f>
        <v/>
      </c>
      <c r="H74" s="2">
        <f>IF(G74="","",IF(COUNTA($G$2:$G$300)&lt;=1,0,PERCENTRANK.INC($G$2:$G$300,G74)))</f>
        <v/>
      </c>
      <c r="I74" s="2">
        <f>IF(F74="","",1-F74)</f>
        <v/>
      </c>
      <c r="J74" s="2">
        <f>IF(A74="","",0.6*I74+0.4*H74)</f>
        <v/>
      </c>
      <c r="K74">
        <f>IF(F74="","",IF(F74&lt;=0.33,"Low Movement",IF(F74&lt;=0.66,"Medium Movement","High Movement")))</f>
        <v/>
      </c>
      <c r="L74">
        <f>IF(J74="","",IF(J74&gt;=0.67,"High Value Bundle",IF(J74&gt;=0.34,"Medium Value Bundle","Low Value Bundle")))</f>
        <v/>
      </c>
      <c r="M74">
        <f>IF(A74="","",IF(AND(F74&gt;=0.66,H74&gt;=0.66),"Yes","No"))</f>
        <v/>
      </c>
      <c r="N74">
        <f>IF(A74="","",IF(K74="Low Movement","Yes","No"))</f>
        <v/>
      </c>
      <c r="O74" s="2">
        <f>IF(L74="","",IF(L74="High Value Bundle",0.10,IF(L74="Medium Value Bundle",0.15,0.20)))</f>
        <v/>
      </c>
      <c r="P74">
        <f>IF(M74="Yes",C74&amp;"|anchor","")</f>
        <v/>
      </c>
      <c r="Q74">
        <f>IF(M74="Yes",B74,"")</f>
        <v/>
      </c>
    </row>
    <row r="75">
      <c r="A75">
        <f>Input_Data!A75</f>
        <v/>
      </c>
      <c r="B75">
        <f>Input_Data!B75</f>
        <v/>
      </c>
      <c r="C75">
        <f>Input_Data!C75</f>
        <v/>
      </c>
      <c r="D75">
        <f>IF(A75="","",SUM(Input_Data!D75:I75))</f>
        <v/>
      </c>
      <c r="E75">
        <f>IF(D75="","",D75/6)</f>
        <v/>
      </c>
      <c r="F75" s="2">
        <f>IF(D75="","",IF(COUNTA($D$2:$D$300)&lt;=1,0,PERCENTRANK.INC($D$2:$D$300,D75)))</f>
        <v/>
      </c>
      <c r="G75" s="2">
        <f>Input_Data!J75</f>
        <v/>
      </c>
      <c r="H75" s="2">
        <f>IF(G75="","",IF(COUNTA($G$2:$G$300)&lt;=1,0,PERCENTRANK.INC($G$2:$G$300,G75)))</f>
        <v/>
      </c>
      <c r="I75" s="2">
        <f>IF(F75="","",1-F75)</f>
        <v/>
      </c>
      <c r="J75" s="2">
        <f>IF(A75="","",0.6*I75+0.4*H75)</f>
        <v/>
      </c>
      <c r="K75">
        <f>IF(F75="","",IF(F75&lt;=0.33,"Low Movement",IF(F75&lt;=0.66,"Medium Movement","High Movement")))</f>
        <v/>
      </c>
      <c r="L75">
        <f>IF(J75="","",IF(J75&gt;=0.67,"High Value Bundle",IF(J75&gt;=0.34,"Medium Value Bundle","Low Value Bundle")))</f>
        <v/>
      </c>
      <c r="M75">
        <f>IF(A75="","",IF(AND(F75&gt;=0.66,H75&gt;=0.66),"Yes","No"))</f>
        <v/>
      </c>
      <c r="N75">
        <f>IF(A75="","",IF(K75="Low Movement","Yes","No"))</f>
        <v/>
      </c>
      <c r="O75" s="2">
        <f>IF(L75="","",IF(L75="High Value Bundle",0.10,IF(L75="Medium Value Bundle",0.15,0.20)))</f>
        <v/>
      </c>
      <c r="P75">
        <f>IF(M75="Yes",C75&amp;"|anchor","")</f>
        <v/>
      </c>
      <c r="Q75">
        <f>IF(M75="Yes",B75,"")</f>
        <v/>
      </c>
    </row>
    <row r="76">
      <c r="A76">
        <f>Input_Data!A76</f>
        <v/>
      </c>
      <c r="B76">
        <f>Input_Data!B76</f>
        <v/>
      </c>
      <c r="C76">
        <f>Input_Data!C76</f>
        <v/>
      </c>
      <c r="D76">
        <f>IF(A76="","",SUM(Input_Data!D76:I76))</f>
        <v/>
      </c>
      <c r="E76">
        <f>IF(D76="","",D76/6)</f>
        <v/>
      </c>
      <c r="F76" s="2">
        <f>IF(D76="","",IF(COUNTA($D$2:$D$300)&lt;=1,0,PERCENTRANK.INC($D$2:$D$300,D76)))</f>
        <v/>
      </c>
      <c r="G76" s="2">
        <f>Input_Data!J76</f>
        <v/>
      </c>
      <c r="H76" s="2">
        <f>IF(G76="","",IF(COUNTA($G$2:$G$300)&lt;=1,0,PERCENTRANK.INC($G$2:$G$300,G76)))</f>
        <v/>
      </c>
      <c r="I76" s="2">
        <f>IF(F76="","",1-F76)</f>
        <v/>
      </c>
      <c r="J76" s="2">
        <f>IF(A76="","",0.6*I76+0.4*H76)</f>
        <v/>
      </c>
      <c r="K76">
        <f>IF(F76="","",IF(F76&lt;=0.33,"Low Movement",IF(F76&lt;=0.66,"Medium Movement","High Movement")))</f>
        <v/>
      </c>
      <c r="L76">
        <f>IF(J76="","",IF(J76&gt;=0.67,"High Value Bundle",IF(J76&gt;=0.34,"Medium Value Bundle","Low Value Bundle")))</f>
        <v/>
      </c>
      <c r="M76">
        <f>IF(A76="","",IF(AND(F76&gt;=0.66,H76&gt;=0.66),"Yes","No"))</f>
        <v/>
      </c>
      <c r="N76">
        <f>IF(A76="","",IF(K76="Low Movement","Yes","No"))</f>
        <v/>
      </c>
      <c r="O76" s="2">
        <f>IF(L76="","",IF(L76="High Value Bundle",0.10,IF(L76="Medium Value Bundle",0.15,0.20)))</f>
        <v/>
      </c>
      <c r="P76">
        <f>IF(M76="Yes",C76&amp;"|anchor","")</f>
        <v/>
      </c>
      <c r="Q76">
        <f>IF(M76="Yes",B76,"")</f>
        <v/>
      </c>
    </row>
    <row r="77">
      <c r="A77">
        <f>Input_Data!A77</f>
        <v/>
      </c>
      <c r="B77">
        <f>Input_Data!B77</f>
        <v/>
      </c>
      <c r="C77">
        <f>Input_Data!C77</f>
        <v/>
      </c>
      <c r="D77">
        <f>IF(A77="","",SUM(Input_Data!D77:I77))</f>
        <v/>
      </c>
      <c r="E77">
        <f>IF(D77="","",D77/6)</f>
        <v/>
      </c>
      <c r="F77" s="2">
        <f>IF(D77="","",IF(COUNTA($D$2:$D$300)&lt;=1,0,PERCENTRANK.INC($D$2:$D$300,D77)))</f>
        <v/>
      </c>
      <c r="G77" s="2">
        <f>Input_Data!J77</f>
        <v/>
      </c>
      <c r="H77" s="2">
        <f>IF(G77="","",IF(COUNTA($G$2:$G$300)&lt;=1,0,PERCENTRANK.INC($G$2:$G$300,G77)))</f>
        <v/>
      </c>
      <c r="I77" s="2">
        <f>IF(F77="","",1-F77)</f>
        <v/>
      </c>
      <c r="J77" s="2">
        <f>IF(A77="","",0.6*I77+0.4*H77)</f>
        <v/>
      </c>
      <c r="K77">
        <f>IF(F77="","",IF(F77&lt;=0.33,"Low Movement",IF(F77&lt;=0.66,"Medium Movement","High Movement")))</f>
        <v/>
      </c>
      <c r="L77">
        <f>IF(J77="","",IF(J77&gt;=0.67,"High Value Bundle",IF(J77&gt;=0.34,"Medium Value Bundle","Low Value Bundle")))</f>
        <v/>
      </c>
      <c r="M77">
        <f>IF(A77="","",IF(AND(F77&gt;=0.66,H77&gt;=0.66),"Yes","No"))</f>
        <v/>
      </c>
      <c r="N77">
        <f>IF(A77="","",IF(K77="Low Movement","Yes","No"))</f>
        <v/>
      </c>
      <c r="O77" s="2">
        <f>IF(L77="","",IF(L77="High Value Bundle",0.10,IF(L77="Medium Value Bundle",0.15,0.20)))</f>
        <v/>
      </c>
      <c r="P77">
        <f>IF(M77="Yes",C77&amp;"|anchor","")</f>
        <v/>
      </c>
      <c r="Q77">
        <f>IF(M77="Yes",B77,"")</f>
        <v/>
      </c>
    </row>
    <row r="78">
      <c r="A78">
        <f>Input_Data!A78</f>
        <v/>
      </c>
      <c r="B78">
        <f>Input_Data!B78</f>
        <v/>
      </c>
      <c r="C78">
        <f>Input_Data!C78</f>
        <v/>
      </c>
      <c r="D78">
        <f>IF(A78="","",SUM(Input_Data!D78:I78))</f>
        <v/>
      </c>
      <c r="E78">
        <f>IF(D78="","",D78/6)</f>
        <v/>
      </c>
      <c r="F78" s="2">
        <f>IF(D78="","",IF(COUNTA($D$2:$D$300)&lt;=1,0,PERCENTRANK.INC($D$2:$D$300,D78)))</f>
        <v/>
      </c>
      <c r="G78" s="2">
        <f>Input_Data!J78</f>
        <v/>
      </c>
      <c r="H78" s="2">
        <f>IF(G78="","",IF(COUNTA($G$2:$G$300)&lt;=1,0,PERCENTRANK.INC($G$2:$G$300,G78)))</f>
        <v/>
      </c>
      <c r="I78" s="2">
        <f>IF(F78="","",1-F78)</f>
        <v/>
      </c>
      <c r="J78" s="2">
        <f>IF(A78="","",0.6*I78+0.4*H78)</f>
        <v/>
      </c>
      <c r="K78">
        <f>IF(F78="","",IF(F78&lt;=0.33,"Low Movement",IF(F78&lt;=0.66,"Medium Movement","High Movement")))</f>
        <v/>
      </c>
      <c r="L78">
        <f>IF(J78="","",IF(J78&gt;=0.67,"High Value Bundle",IF(J78&gt;=0.34,"Medium Value Bundle","Low Value Bundle")))</f>
        <v/>
      </c>
      <c r="M78">
        <f>IF(A78="","",IF(AND(F78&gt;=0.66,H78&gt;=0.66),"Yes","No"))</f>
        <v/>
      </c>
      <c r="N78">
        <f>IF(A78="","",IF(K78="Low Movement","Yes","No"))</f>
        <v/>
      </c>
      <c r="O78" s="2">
        <f>IF(L78="","",IF(L78="High Value Bundle",0.10,IF(L78="Medium Value Bundle",0.15,0.20)))</f>
        <v/>
      </c>
      <c r="P78">
        <f>IF(M78="Yes",C78&amp;"|anchor","")</f>
        <v/>
      </c>
      <c r="Q78">
        <f>IF(M78="Yes",B78,"")</f>
        <v/>
      </c>
    </row>
    <row r="79">
      <c r="A79">
        <f>Input_Data!A79</f>
        <v/>
      </c>
      <c r="B79">
        <f>Input_Data!B79</f>
        <v/>
      </c>
      <c r="C79">
        <f>Input_Data!C79</f>
        <v/>
      </c>
      <c r="D79">
        <f>IF(A79="","",SUM(Input_Data!D79:I79))</f>
        <v/>
      </c>
      <c r="E79">
        <f>IF(D79="","",D79/6)</f>
        <v/>
      </c>
      <c r="F79" s="2">
        <f>IF(D79="","",IF(COUNTA($D$2:$D$300)&lt;=1,0,PERCENTRANK.INC($D$2:$D$300,D79)))</f>
        <v/>
      </c>
      <c r="G79" s="2">
        <f>Input_Data!J79</f>
        <v/>
      </c>
      <c r="H79" s="2">
        <f>IF(G79="","",IF(COUNTA($G$2:$G$300)&lt;=1,0,PERCENTRANK.INC($G$2:$G$300,G79)))</f>
        <v/>
      </c>
      <c r="I79" s="2">
        <f>IF(F79="","",1-F79)</f>
        <v/>
      </c>
      <c r="J79" s="2">
        <f>IF(A79="","",0.6*I79+0.4*H79)</f>
        <v/>
      </c>
      <c r="K79">
        <f>IF(F79="","",IF(F79&lt;=0.33,"Low Movement",IF(F79&lt;=0.66,"Medium Movement","High Movement")))</f>
        <v/>
      </c>
      <c r="L79">
        <f>IF(J79="","",IF(J79&gt;=0.67,"High Value Bundle",IF(J79&gt;=0.34,"Medium Value Bundle","Low Value Bundle")))</f>
        <v/>
      </c>
      <c r="M79">
        <f>IF(A79="","",IF(AND(F79&gt;=0.66,H79&gt;=0.66),"Yes","No"))</f>
        <v/>
      </c>
      <c r="N79">
        <f>IF(A79="","",IF(K79="Low Movement","Yes","No"))</f>
        <v/>
      </c>
      <c r="O79" s="2">
        <f>IF(L79="","",IF(L79="High Value Bundle",0.10,IF(L79="Medium Value Bundle",0.15,0.20)))</f>
        <v/>
      </c>
      <c r="P79">
        <f>IF(M79="Yes",C79&amp;"|anchor","")</f>
        <v/>
      </c>
      <c r="Q79">
        <f>IF(M79="Yes",B79,"")</f>
        <v/>
      </c>
    </row>
    <row r="80">
      <c r="A80">
        <f>Input_Data!A80</f>
        <v/>
      </c>
      <c r="B80">
        <f>Input_Data!B80</f>
        <v/>
      </c>
      <c r="C80">
        <f>Input_Data!C80</f>
        <v/>
      </c>
      <c r="D80">
        <f>IF(A80="","",SUM(Input_Data!D80:I80))</f>
        <v/>
      </c>
      <c r="E80">
        <f>IF(D80="","",D80/6)</f>
        <v/>
      </c>
      <c r="F80" s="2">
        <f>IF(D80="","",IF(COUNTA($D$2:$D$300)&lt;=1,0,PERCENTRANK.INC($D$2:$D$300,D80)))</f>
        <v/>
      </c>
      <c r="G80" s="2">
        <f>Input_Data!J80</f>
        <v/>
      </c>
      <c r="H80" s="2">
        <f>IF(G80="","",IF(COUNTA($G$2:$G$300)&lt;=1,0,PERCENTRANK.INC($G$2:$G$300,G80)))</f>
        <v/>
      </c>
      <c r="I80" s="2">
        <f>IF(F80="","",1-F80)</f>
        <v/>
      </c>
      <c r="J80" s="2">
        <f>IF(A80="","",0.6*I80+0.4*H80)</f>
        <v/>
      </c>
      <c r="K80">
        <f>IF(F80="","",IF(F80&lt;=0.33,"Low Movement",IF(F80&lt;=0.66,"Medium Movement","High Movement")))</f>
        <v/>
      </c>
      <c r="L80">
        <f>IF(J80="","",IF(J80&gt;=0.67,"High Value Bundle",IF(J80&gt;=0.34,"Medium Value Bundle","Low Value Bundle")))</f>
        <v/>
      </c>
      <c r="M80">
        <f>IF(A80="","",IF(AND(F80&gt;=0.66,H80&gt;=0.66),"Yes","No"))</f>
        <v/>
      </c>
      <c r="N80">
        <f>IF(A80="","",IF(K80="Low Movement","Yes","No"))</f>
        <v/>
      </c>
      <c r="O80" s="2">
        <f>IF(L80="","",IF(L80="High Value Bundle",0.10,IF(L80="Medium Value Bundle",0.15,0.20)))</f>
        <v/>
      </c>
      <c r="P80">
        <f>IF(M80="Yes",C80&amp;"|anchor","")</f>
        <v/>
      </c>
      <c r="Q80">
        <f>IF(M80="Yes",B80,"")</f>
        <v/>
      </c>
    </row>
    <row r="81">
      <c r="A81">
        <f>Input_Data!A81</f>
        <v/>
      </c>
      <c r="B81">
        <f>Input_Data!B81</f>
        <v/>
      </c>
      <c r="C81">
        <f>Input_Data!C81</f>
        <v/>
      </c>
      <c r="D81">
        <f>IF(A81="","",SUM(Input_Data!D81:I81))</f>
        <v/>
      </c>
      <c r="E81">
        <f>IF(D81="","",D81/6)</f>
        <v/>
      </c>
      <c r="F81" s="2">
        <f>IF(D81="","",IF(COUNTA($D$2:$D$300)&lt;=1,0,PERCENTRANK.INC($D$2:$D$300,D81)))</f>
        <v/>
      </c>
      <c r="G81" s="2">
        <f>Input_Data!J81</f>
        <v/>
      </c>
      <c r="H81" s="2">
        <f>IF(G81="","",IF(COUNTA($G$2:$G$300)&lt;=1,0,PERCENTRANK.INC($G$2:$G$300,G81)))</f>
        <v/>
      </c>
      <c r="I81" s="2">
        <f>IF(F81="","",1-F81)</f>
        <v/>
      </c>
      <c r="J81" s="2">
        <f>IF(A81="","",0.6*I81+0.4*H81)</f>
        <v/>
      </c>
      <c r="K81">
        <f>IF(F81="","",IF(F81&lt;=0.33,"Low Movement",IF(F81&lt;=0.66,"Medium Movement","High Movement")))</f>
        <v/>
      </c>
      <c r="L81">
        <f>IF(J81="","",IF(J81&gt;=0.67,"High Value Bundle",IF(J81&gt;=0.34,"Medium Value Bundle","Low Value Bundle")))</f>
        <v/>
      </c>
      <c r="M81">
        <f>IF(A81="","",IF(AND(F81&gt;=0.66,H81&gt;=0.66),"Yes","No"))</f>
        <v/>
      </c>
      <c r="N81">
        <f>IF(A81="","",IF(K81="Low Movement","Yes","No"))</f>
        <v/>
      </c>
      <c r="O81" s="2">
        <f>IF(L81="","",IF(L81="High Value Bundle",0.10,IF(L81="Medium Value Bundle",0.15,0.20)))</f>
        <v/>
      </c>
      <c r="P81">
        <f>IF(M81="Yes",C81&amp;"|anchor","")</f>
        <v/>
      </c>
      <c r="Q81">
        <f>IF(M81="Yes",B81,"")</f>
        <v/>
      </c>
    </row>
    <row r="82">
      <c r="A82">
        <f>Input_Data!A82</f>
        <v/>
      </c>
      <c r="B82">
        <f>Input_Data!B82</f>
        <v/>
      </c>
      <c r="C82">
        <f>Input_Data!C82</f>
        <v/>
      </c>
      <c r="D82">
        <f>IF(A82="","",SUM(Input_Data!D82:I82))</f>
        <v/>
      </c>
      <c r="E82">
        <f>IF(D82="","",D82/6)</f>
        <v/>
      </c>
      <c r="F82" s="2">
        <f>IF(D82="","",IF(COUNTA($D$2:$D$300)&lt;=1,0,PERCENTRANK.INC($D$2:$D$300,D82)))</f>
        <v/>
      </c>
      <c r="G82" s="2">
        <f>Input_Data!J82</f>
        <v/>
      </c>
      <c r="H82" s="2">
        <f>IF(G82="","",IF(COUNTA($G$2:$G$300)&lt;=1,0,PERCENTRANK.INC($G$2:$G$300,G82)))</f>
        <v/>
      </c>
      <c r="I82" s="2">
        <f>IF(F82="","",1-F82)</f>
        <v/>
      </c>
      <c r="J82" s="2">
        <f>IF(A82="","",0.6*I82+0.4*H82)</f>
        <v/>
      </c>
      <c r="K82">
        <f>IF(F82="","",IF(F82&lt;=0.33,"Low Movement",IF(F82&lt;=0.66,"Medium Movement","High Movement")))</f>
        <v/>
      </c>
      <c r="L82">
        <f>IF(J82="","",IF(J82&gt;=0.67,"High Value Bundle",IF(J82&gt;=0.34,"Medium Value Bundle","Low Value Bundle")))</f>
        <v/>
      </c>
      <c r="M82">
        <f>IF(A82="","",IF(AND(F82&gt;=0.66,H82&gt;=0.66),"Yes","No"))</f>
        <v/>
      </c>
      <c r="N82">
        <f>IF(A82="","",IF(K82="Low Movement","Yes","No"))</f>
        <v/>
      </c>
      <c r="O82" s="2">
        <f>IF(L82="","",IF(L82="High Value Bundle",0.10,IF(L82="Medium Value Bundle",0.15,0.20)))</f>
        <v/>
      </c>
      <c r="P82">
        <f>IF(M82="Yes",C82&amp;"|anchor","")</f>
        <v/>
      </c>
      <c r="Q82">
        <f>IF(M82="Yes",B82,"")</f>
        <v/>
      </c>
    </row>
    <row r="83">
      <c r="A83">
        <f>Input_Data!A83</f>
        <v/>
      </c>
      <c r="B83">
        <f>Input_Data!B83</f>
        <v/>
      </c>
      <c r="C83">
        <f>Input_Data!C83</f>
        <v/>
      </c>
      <c r="D83">
        <f>IF(A83="","",SUM(Input_Data!D83:I83))</f>
        <v/>
      </c>
      <c r="E83">
        <f>IF(D83="","",D83/6)</f>
        <v/>
      </c>
      <c r="F83" s="2">
        <f>IF(D83="","",IF(COUNTA($D$2:$D$300)&lt;=1,0,PERCENTRANK.INC($D$2:$D$300,D83)))</f>
        <v/>
      </c>
      <c r="G83" s="2">
        <f>Input_Data!J83</f>
        <v/>
      </c>
      <c r="H83" s="2">
        <f>IF(G83="","",IF(COUNTA($G$2:$G$300)&lt;=1,0,PERCENTRANK.INC($G$2:$G$300,G83)))</f>
        <v/>
      </c>
      <c r="I83" s="2">
        <f>IF(F83="","",1-F83)</f>
        <v/>
      </c>
      <c r="J83" s="2">
        <f>IF(A83="","",0.6*I83+0.4*H83)</f>
        <v/>
      </c>
      <c r="K83">
        <f>IF(F83="","",IF(F83&lt;=0.33,"Low Movement",IF(F83&lt;=0.66,"Medium Movement","High Movement")))</f>
        <v/>
      </c>
      <c r="L83">
        <f>IF(J83="","",IF(J83&gt;=0.67,"High Value Bundle",IF(J83&gt;=0.34,"Medium Value Bundle","Low Value Bundle")))</f>
        <v/>
      </c>
      <c r="M83">
        <f>IF(A83="","",IF(AND(F83&gt;=0.66,H83&gt;=0.66),"Yes","No"))</f>
        <v/>
      </c>
      <c r="N83">
        <f>IF(A83="","",IF(K83="Low Movement","Yes","No"))</f>
        <v/>
      </c>
      <c r="O83" s="2">
        <f>IF(L83="","",IF(L83="High Value Bundle",0.10,IF(L83="Medium Value Bundle",0.15,0.20)))</f>
        <v/>
      </c>
      <c r="P83">
        <f>IF(M83="Yes",C83&amp;"|anchor","")</f>
        <v/>
      </c>
      <c r="Q83">
        <f>IF(M83="Yes",B83,"")</f>
        <v/>
      </c>
    </row>
    <row r="84">
      <c r="A84">
        <f>Input_Data!A84</f>
        <v/>
      </c>
      <c r="B84">
        <f>Input_Data!B84</f>
        <v/>
      </c>
      <c r="C84">
        <f>Input_Data!C84</f>
        <v/>
      </c>
      <c r="D84">
        <f>IF(A84="","",SUM(Input_Data!D84:I84))</f>
        <v/>
      </c>
      <c r="E84">
        <f>IF(D84="","",D84/6)</f>
        <v/>
      </c>
      <c r="F84" s="2">
        <f>IF(D84="","",IF(COUNTA($D$2:$D$300)&lt;=1,0,PERCENTRANK.INC($D$2:$D$300,D84)))</f>
        <v/>
      </c>
      <c r="G84" s="2">
        <f>Input_Data!J84</f>
        <v/>
      </c>
      <c r="H84" s="2">
        <f>IF(G84="","",IF(COUNTA($G$2:$G$300)&lt;=1,0,PERCENTRANK.INC($G$2:$G$300,G84)))</f>
        <v/>
      </c>
      <c r="I84" s="2">
        <f>IF(F84="","",1-F84)</f>
        <v/>
      </c>
      <c r="J84" s="2">
        <f>IF(A84="","",0.6*I84+0.4*H84)</f>
        <v/>
      </c>
      <c r="K84">
        <f>IF(F84="","",IF(F84&lt;=0.33,"Low Movement",IF(F84&lt;=0.66,"Medium Movement","High Movement")))</f>
        <v/>
      </c>
      <c r="L84">
        <f>IF(J84="","",IF(J84&gt;=0.67,"High Value Bundle",IF(J84&gt;=0.34,"Medium Value Bundle","Low Value Bundle")))</f>
        <v/>
      </c>
      <c r="M84">
        <f>IF(A84="","",IF(AND(F84&gt;=0.66,H84&gt;=0.66),"Yes","No"))</f>
        <v/>
      </c>
      <c r="N84">
        <f>IF(A84="","",IF(K84="Low Movement","Yes","No"))</f>
        <v/>
      </c>
      <c r="O84" s="2">
        <f>IF(L84="","",IF(L84="High Value Bundle",0.10,IF(L84="Medium Value Bundle",0.15,0.20)))</f>
        <v/>
      </c>
      <c r="P84">
        <f>IF(M84="Yes",C84&amp;"|anchor","")</f>
        <v/>
      </c>
      <c r="Q84">
        <f>IF(M84="Yes",B84,"")</f>
        <v/>
      </c>
    </row>
    <row r="85">
      <c r="A85">
        <f>Input_Data!A85</f>
        <v/>
      </c>
      <c r="B85">
        <f>Input_Data!B85</f>
        <v/>
      </c>
      <c r="C85">
        <f>Input_Data!C85</f>
        <v/>
      </c>
      <c r="D85">
        <f>IF(A85="","",SUM(Input_Data!D85:I85))</f>
        <v/>
      </c>
      <c r="E85">
        <f>IF(D85="","",D85/6)</f>
        <v/>
      </c>
      <c r="F85" s="2">
        <f>IF(D85="","",IF(COUNTA($D$2:$D$300)&lt;=1,0,PERCENTRANK.INC($D$2:$D$300,D85)))</f>
        <v/>
      </c>
      <c r="G85" s="2">
        <f>Input_Data!J85</f>
        <v/>
      </c>
      <c r="H85" s="2">
        <f>IF(G85="","",IF(COUNTA($G$2:$G$300)&lt;=1,0,PERCENTRANK.INC($G$2:$G$300,G85)))</f>
        <v/>
      </c>
      <c r="I85" s="2">
        <f>IF(F85="","",1-F85)</f>
        <v/>
      </c>
      <c r="J85" s="2">
        <f>IF(A85="","",0.6*I85+0.4*H85)</f>
        <v/>
      </c>
      <c r="K85">
        <f>IF(F85="","",IF(F85&lt;=0.33,"Low Movement",IF(F85&lt;=0.66,"Medium Movement","High Movement")))</f>
        <v/>
      </c>
      <c r="L85">
        <f>IF(J85="","",IF(J85&gt;=0.67,"High Value Bundle",IF(J85&gt;=0.34,"Medium Value Bundle","Low Value Bundle")))</f>
        <v/>
      </c>
      <c r="M85">
        <f>IF(A85="","",IF(AND(F85&gt;=0.66,H85&gt;=0.66),"Yes","No"))</f>
        <v/>
      </c>
      <c r="N85">
        <f>IF(A85="","",IF(K85="Low Movement","Yes","No"))</f>
        <v/>
      </c>
      <c r="O85" s="2">
        <f>IF(L85="","",IF(L85="High Value Bundle",0.10,IF(L85="Medium Value Bundle",0.15,0.20)))</f>
        <v/>
      </c>
      <c r="P85">
        <f>IF(M85="Yes",C85&amp;"|anchor","")</f>
        <v/>
      </c>
      <c r="Q85">
        <f>IF(M85="Yes",B85,"")</f>
        <v/>
      </c>
    </row>
    <row r="86">
      <c r="A86">
        <f>Input_Data!A86</f>
        <v/>
      </c>
      <c r="B86">
        <f>Input_Data!B86</f>
        <v/>
      </c>
      <c r="C86">
        <f>Input_Data!C86</f>
        <v/>
      </c>
      <c r="D86">
        <f>IF(A86="","",SUM(Input_Data!D86:I86))</f>
        <v/>
      </c>
      <c r="E86">
        <f>IF(D86="","",D86/6)</f>
        <v/>
      </c>
      <c r="F86" s="2">
        <f>IF(D86="","",IF(COUNTA($D$2:$D$300)&lt;=1,0,PERCENTRANK.INC($D$2:$D$300,D86)))</f>
        <v/>
      </c>
      <c r="G86" s="2">
        <f>Input_Data!J86</f>
        <v/>
      </c>
      <c r="H86" s="2">
        <f>IF(G86="","",IF(COUNTA($G$2:$G$300)&lt;=1,0,PERCENTRANK.INC($G$2:$G$300,G86)))</f>
        <v/>
      </c>
      <c r="I86" s="2">
        <f>IF(F86="","",1-F86)</f>
        <v/>
      </c>
      <c r="J86" s="2">
        <f>IF(A86="","",0.6*I86+0.4*H86)</f>
        <v/>
      </c>
      <c r="K86">
        <f>IF(F86="","",IF(F86&lt;=0.33,"Low Movement",IF(F86&lt;=0.66,"Medium Movement","High Movement")))</f>
        <v/>
      </c>
      <c r="L86">
        <f>IF(J86="","",IF(J86&gt;=0.67,"High Value Bundle",IF(J86&gt;=0.34,"Medium Value Bundle","Low Value Bundle")))</f>
        <v/>
      </c>
      <c r="M86">
        <f>IF(A86="","",IF(AND(F86&gt;=0.66,H86&gt;=0.66),"Yes","No"))</f>
        <v/>
      </c>
      <c r="N86">
        <f>IF(A86="","",IF(K86="Low Movement","Yes","No"))</f>
        <v/>
      </c>
      <c r="O86" s="2">
        <f>IF(L86="","",IF(L86="High Value Bundle",0.10,IF(L86="Medium Value Bundle",0.15,0.20)))</f>
        <v/>
      </c>
      <c r="P86">
        <f>IF(M86="Yes",C86&amp;"|anchor","")</f>
        <v/>
      </c>
      <c r="Q86">
        <f>IF(M86="Yes",B86,"")</f>
        <v/>
      </c>
    </row>
    <row r="87">
      <c r="A87">
        <f>Input_Data!A87</f>
        <v/>
      </c>
      <c r="B87">
        <f>Input_Data!B87</f>
        <v/>
      </c>
      <c r="C87">
        <f>Input_Data!C87</f>
        <v/>
      </c>
      <c r="D87">
        <f>IF(A87="","",SUM(Input_Data!D87:I87))</f>
        <v/>
      </c>
      <c r="E87">
        <f>IF(D87="","",D87/6)</f>
        <v/>
      </c>
      <c r="F87" s="2">
        <f>IF(D87="","",IF(COUNTA($D$2:$D$300)&lt;=1,0,PERCENTRANK.INC($D$2:$D$300,D87)))</f>
        <v/>
      </c>
      <c r="G87" s="2">
        <f>Input_Data!J87</f>
        <v/>
      </c>
      <c r="H87" s="2">
        <f>IF(G87="","",IF(COUNTA($G$2:$G$300)&lt;=1,0,PERCENTRANK.INC($G$2:$G$300,G87)))</f>
        <v/>
      </c>
      <c r="I87" s="2">
        <f>IF(F87="","",1-F87)</f>
        <v/>
      </c>
      <c r="J87" s="2">
        <f>IF(A87="","",0.6*I87+0.4*H87)</f>
        <v/>
      </c>
      <c r="K87">
        <f>IF(F87="","",IF(F87&lt;=0.33,"Low Movement",IF(F87&lt;=0.66,"Medium Movement","High Movement")))</f>
        <v/>
      </c>
      <c r="L87">
        <f>IF(J87="","",IF(J87&gt;=0.67,"High Value Bundle",IF(J87&gt;=0.34,"Medium Value Bundle","Low Value Bundle")))</f>
        <v/>
      </c>
      <c r="M87">
        <f>IF(A87="","",IF(AND(F87&gt;=0.66,H87&gt;=0.66),"Yes","No"))</f>
        <v/>
      </c>
      <c r="N87">
        <f>IF(A87="","",IF(K87="Low Movement","Yes","No"))</f>
        <v/>
      </c>
      <c r="O87" s="2">
        <f>IF(L87="","",IF(L87="High Value Bundle",0.10,IF(L87="Medium Value Bundle",0.15,0.20)))</f>
        <v/>
      </c>
      <c r="P87">
        <f>IF(M87="Yes",C87&amp;"|anchor","")</f>
        <v/>
      </c>
      <c r="Q87">
        <f>IF(M87="Yes",B87,"")</f>
        <v/>
      </c>
    </row>
    <row r="88">
      <c r="A88">
        <f>Input_Data!A88</f>
        <v/>
      </c>
      <c r="B88">
        <f>Input_Data!B88</f>
        <v/>
      </c>
      <c r="C88">
        <f>Input_Data!C88</f>
        <v/>
      </c>
      <c r="D88">
        <f>IF(A88="","",SUM(Input_Data!D88:I88))</f>
        <v/>
      </c>
      <c r="E88">
        <f>IF(D88="","",D88/6)</f>
        <v/>
      </c>
      <c r="F88" s="2">
        <f>IF(D88="","",IF(COUNTA($D$2:$D$300)&lt;=1,0,PERCENTRANK.INC($D$2:$D$300,D88)))</f>
        <v/>
      </c>
      <c r="G88" s="2">
        <f>Input_Data!J88</f>
        <v/>
      </c>
      <c r="H88" s="2">
        <f>IF(G88="","",IF(COUNTA($G$2:$G$300)&lt;=1,0,PERCENTRANK.INC($G$2:$G$300,G88)))</f>
        <v/>
      </c>
      <c r="I88" s="2">
        <f>IF(F88="","",1-F88)</f>
        <v/>
      </c>
      <c r="J88" s="2">
        <f>IF(A88="","",0.6*I88+0.4*H88)</f>
        <v/>
      </c>
      <c r="K88">
        <f>IF(F88="","",IF(F88&lt;=0.33,"Low Movement",IF(F88&lt;=0.66,"Medium Movement","High Movement")))</f>
        <v/>
      </c>
      <c r="L88">
        <f>IF(J88="","",IF(J88&gt;=0.67,"High Value Bundle",IF(J88&gt;=0.34,"Medium Value Bundle","Low Value Bundle")))</f>
        <v/>
      </c>
      <c r="M88">
        <f>IF(A88="","",IF(AND(F88&gt;=0.66,H88&gt;=0.66),"Yes","No"))</f>
        <v/>
      </c>
      <c r="N88">
        <f>IF(A88="","",IF(K88="Low Movement","Yes","No"))</f>
        <v/>
      </c>
      <c r="O88" s="2">
        <f>IF(L88="","",IF(L88="High Value Bundle",0.10,IF(L88="Medium Value Bundle",0.15,0.20)))</f>
        <v/>
      </c>
      <c r="P88">
        <f>IF(M88="Yes",C88&amp;"|anchor","")</f>
        <v/>
      </c>
      <c r="Q88">
        <f>IF(M88="Yes",B88,"")</f>
        <v/>
      </c>
    </row>
    <row r="89">
      <c r="A89">
        <f>Input_Data!A89</f>
        <v/>
      </c>
      <c r="B89">
        <f>Input_Data!B89</f>
        <v/>
      </c>
      <c r="C89">
        <f>Input_Data!C89</f>
        <v/>
      </c>
      <c r="D89">
        <f>IF(A89="","",SUM(Input_Data!D89:I89))</f>
        <v/>
      </c>
      <c r="E89">
        <f>IF(D89="","",D89/6)</f>
        <v/>
      </c>
      <c r="F89" s="2">
        <f>IF(D89="","",IF(COUNTA($D$2:$D$300)&lt;=1,0,PERCENTRANK.INC($D$2:$D$300,D89)))</f>
        <v/>
      </c>
      <c r="G89" s="2">
        <f>Input_Data!J89</f>
        <v/>
      </c>
      <c r="H89" s="2">
        <f>IF(G89="","",IF(COUNTA($G$2:$G$300)&lt;=1,0,PERCENTRANK.INC($G$2:$G$300,G89)))</f>
        <v/>
      </c>
      <c r="I89" s="2">
        <f>IF(F89="","",1-F89)</f>
        <v/>
      </c>
      <c r="J89" s="2">
        <f>IF(A89="","",0.6*I89+0.4*H89)</f>
        <v/>
      </c>
      <c r="K89">
        <f>IF(F89="","",IF(F89&lt;=0.33,"Low Movement",IF(F89&lt;=0.66,"Medium Movement","High Movement")))</f>
        <v/>
      </c>
      <c r="L89">
        <f>IF(J89="","",IF(J89&gt;=0.67,"High Value Bundle",IF(J89&gt;=0.34,"Medium Value Bundle","Low Value Bundle")))</f>
        <v/>
      </c>
      <c r="M89">
        <f>IF(A89="","",IF(AND(F89&gt;=0.66,H89&gt;=0.66),"Yes","No"))</f>
        <v/>
      </c>
      <c r="N89">
        <f>IF(A89="","",IF(K89="Low Movement","Yes","No"))</f>
        <v/>
      </c>
      <c r="O89" s="2">
        <f>IF(L89="","",IF(L89="High Value Bundle",0.10,IF(L89="Medium Value Bundle",0.15,0.20)))</f>
        <v/>
      </c>
      <c r="P89">
        <f>IF(M89="Yes",C89&amp;"|anchor","")</f>
        <v/>
      </c>
      <c r="Q89">
        <f>IF(M89="Yes",B89,"")</f>
        <v/>
      </c>
    </row>
    <row r="90">
      <c r="A90">
        <f>Input_Data!A90</f>
        <v/>
      </c>
      <c r="B90">
        <f>Input_Data!B90</f>
        <v/>
      </c>
      <c r="C90">
        <f>Input_Data!C90</f>
        <v/>
      </c>
      <c r="D90">
        <f>IF(A90="","",SUM(Input_Data!D90:I90))</f>
        <v/>
      </c>
      <c r="E90">
        <f>IF(D90="","",D90/6)</f>
        <v/>
      </c>
      <c r="F90" s="2">
        <f>IF(D90="","",IF(COUNTA($D$2:$D$300)&lt;=1,0,PERCENTRANK.INC($D$2:$D$300,D90)))</f>
        <v/>
      </c>
      <c r="G90" s="2">
        <f>Input_Data!J90</f>
        <v/>
      </c>
      <c r="H90" s="2">
        <f>IF(G90="","",IF(COUNTA($G$2:$G$300)&lt;=1,0,PERCENTRANK.INC($G$2:$G$300,G90)))</f>
        <v/>
      </c>
      <c r="I90" s="2">
        <f>IF(F90="","",1-F90)</f>
        <v/>
      </c>
      <c r="J90" s="2">
        <f>IF(A90="","",0.6*I90+0.4*H90)</f>
        <v/>
      </c>
      <c r="K90">
        <f>IF(F90="","",IF(F90&lt;=0.33,"Low Movement",IF(F90&lt;=0.66,"Medium Movement","High Movement")))</f>
        <v/>
      </c>
      <c r="L90">
        <f>IF(J90="","",IF(J90&gt;=0.67,"High Value Bundle",IF(J90&gt;=0.34,"Medium Value Bundle","Low Value Bundle")))</f>
        <v/>
      </c>
      <c r="M90">
        <f>IF(A90="","",IF(AND(F90&gt;=0.66,H90&gt;=0.66),"Yes","No"))</f>
        <v/>
      </c>
      <c r="N90">
        <f>IF(A90="","",IF(K90="Low Movement","Yes","No"))</f>
        <v/>
      </c>
      <c r="O90" s="2">
        <f>IF(L90="","",IF(L90="High Value Bundle",0.10,IF(L90="Medium Value Bundle",0.15,0.20)))</f>
        <v/>
      </c>
      <c r="P90">
        <f>IF(M90="Yes",C90&amp;"|anchor","")</f>
        <v/>
      </c>
      <c r="Q90">
        <f>IF(M90="Yes",B90,"")</f>
        <v/>
      </c>
    </row>
    <row r="91">
      <c r="A91">
        <f>Input_Data!A91</f>
        <v/>
      </c>
      <c r="B91">
        <f>Input_Data!B91</f>
        <v/>
      </c>
      <c r="C91">
        <f>Input_Data!C91</f>
        <v/>
      </c>
      <c r="D91">
        <f>IF(A91="","",SUM(Input_Data!D91:I91))</f>
        <v/>
      </c>
      <c r="E91">
        <f>IF(D91="","",D91/6)</f>
        <v/>
      </c>
      <c r="F91" s="2">
        <f>IF(D91="","",IF(COUNTA($D$2:$D$300)&lt;=1,0,PERCENTRANK.INC($D$2:$D$300,D91)))</f>
        <v/>
      </c>
      <c r="G91" s="2">
        <f>Input_Data!J91</f>
        <v/>
      </c>
      <c r="H91" s="2">
        <f>IF(G91="","",IF(COUNTA($G$2:$G$300)&lt;=1,0,PERCENTRANK.INC($G$2:$G$300,G91)))</f>
        <v/>
      </c>
      <c r="I91" s="2">
        <f>IF(F91="","",1-F91)</f>
        <v/>
      </c>
      <c r="J91" s="2">
        <f>IF(A91="","",0.6*I91+0.4*H91)</f>
        <v/>
      </c>
      <c r="K91">
        <f>IF(F91="","",IF(F91&lt;=0.33,"Low Movement",IF(F91&lt;=0.66,"Medium Movement","High Movement")))</f>
        <v/>
      </c>
      <c r="L91">
        <f>IF(J91="","",IF(J91&gt;=0.67,"High Value Bundle",IF(J91&gt;=0.34,"Medium Value Bundle","Low Value Bundle")))</f>
        <v/>
      </c>
      <c r="M91">
        <f>IF(A91="","",IF(AND(F91&gt;=0.66,H91&gt;=0.66),"Yes","No"))</f>
        <v/>
      </c>
      <c r="N91">
        <f>IF(A91="","",IF(K91="Low Movement","Yes","No"))</f>
        <v/>
      </c>
      <c r="O91" s="2">
        <f>IF(L91="","",IF(L91="High Value Bundle",0.10,IF(L91="Medium Value Bundle",0.15,0.20)))</f>
        <v/>
      </c>
      <c r="P91">
        <f>IF(M91="Yes",C91&amp;"|anchor","")</f>
        <v/>
      </c>
      <c r="Q91">
        <f>IF(M91="Yes",B91,"")</f>
        <v/>
      </c>
    </row>
    <row r="92">
      <c r="A92">
        <f>Input_Data!A92</f>
        <v/>
      </c>
      <c r="B92">
        <f>Input_Data!B92</f>
        <v/>
      </c>
      <c r="C92">
        <f>Input_Data!C92</f>
        <v/>
      </c>
      <c r="D92">
        <f>IF(A92="","",SUM(Input_Data!D92:I92))</f>
        <v/>
      </c>
      <c r="E92">
        <f>IF(D92="","",D92/6)</f>
        <v/>
      </c>
      <c r="F92" s="2">
        <f>IF(D92="","",IF(COUNTA($D$2:$D$300)&lt;=1,0,PERCENTRANK.INC($D$2:$D$300,D92)))</f>
        <v/>
      </c>
      <c r="G92" s="2">
        <f>Input_Data!J92</f>
        <v/>
      </c>
      <c r="H92" s="2">
        <f>IF(G92="","",IF(COUNTA($G$2:$G$300)&lt;=1,0,PERCENTRANK.INC($G$2:$G$300,G92)))</f>
        <v/>
      </c>
      <c r="I92" s="2">
        <f>IF(F92="","",1-F92)</f>
        <v/>
      </c>
      <c r="J92" s="2">
        <f>IF(A92="","",0.6*I92+0.4*H92)</f>
        <v/>
      </c>
      <c r="K92">
        <f>IF(F92="","",IF(F92&lt;=0.33,"Low Movement",IF(F92&lt;=0.66,"Medium Movement","High Movement")))</f>
        <v/>
      </c>
      <c r="L92">
        <f>IF(J92="","",IF(J92&gt;=0.67,"High Value Bundle",IF(J92&gt;=0.34,"Medium Value Bundle","Low Value Bundle")))</f>
        <v/>
      </c>
      <c r="M92">
        <f>IF(A92="","",IF(AND(F92&gt;=0.66,H92&gt;=0.66),"Yes","No"))</f>
        <v/>
      </c>
      <c r="N92">
        <f>IF(A92="","",IF(K92="Low Movement","Yes","No"))</f>
        <v/>
      </c>
      <c r="O92" s="2">
        <f>IF(L92="","",IF(L92="High Value Bundle",0.10,IF(L92="Medium Value Bundle",0.15,0.20)))</f>
        <v/>
      </c>
      <c r="P92">
        <f>IF(M92="Yes",C92&amp;"|anchor","")</f>
        <v/>
      </c>
      <c r="Q92">
        <f>IF(M92="Yes",B92,"")</f>
        <v/>
      </c>
    </row>
    <row r="93">
      <c r="A93">
        <f>Input_Data!A93</f>
        <v/>
      </c>
      <c r="B93">
        <f>Input_Data!B93</f>
        <v/>
      </c>
      <c r="C93">
        <f>Input_Data!C93</f>
        <v/>
      </c>
      <c r="D93">
        <f>IF(A93="","",SUM(Input_Data!D93:I93))</f>
        <v/>
      </c>
      <c r="E93">
        <f>IF(D93="","",D93/6)</f>
        <v/>
      </c>
      <c r="F93" s="2">
        <f>IF(D93="","",IF(COUNTA($D$2:$D$300)&lt;=1,0,PERCENTRANK.INC($D$2:$D$300,D93)))</f>
        <v/>
      </c>
      <c r="G93" s="2">
        <f>Input_Data!J93</f>
        <v/>
      </c>
      <c r="H93" s="2">
        <f>IF(G93="","",IF(COUNTA($G$2:$G$300)&lt;=1,0,PERCENTRANK.INC($G$2:$G$300,G93)))</f>
        <v/>
      </c>
      <c r="I93" s="2">
        <f>IF(F93="","",1-F93)</f>
        <v/>
      </c>
      <c r="J93" s="2">
        <f>IF(A93="","",0.6*I93+0.4*H93)</f>
        <v/>
      </c>
      <c r="K93">
        <f>IF(F93="","",IF(F93&lt;=0.33,"Low Movement",IF(F93&lt;=0.66,"Medium Movement","High Movement")))</f>
        <v/>
      </c>
      <c r="L93">
        <f>IF(J93="","",IF(J93&gt;=0.67,"High Value Bundle",IF(J93&gt;=0.34,"Medium Value Bundle","Low Value Bundle")))</f>
        <v/>
      </c>
      <c r="M93">
        <f>IF(A93="","",IF(AND(F93&gt;=0.66,H93&gt;=0.66),"Yes","No"))</f>
        <v/>
      </c>
      <c r="N93">
        <f>IF(A93="","",IF(K93="Low Movement","Yes","No"))</f>
        <v/>
      </c>
      <c r="O93" s="2">
        <f>IF(L93="","",IF(L93="High Value Bundle",0.10,IF(L93="Medium Value Bundle",0.15,0.20)))</f>
        <v/>
      </c>
      <c r="P93">
        <f>IF(M93="Yes",C93&amp;"|anchor","")</f>
        <v/>
      </c>
      <c r="Q93">
        <f>IF(M93="Yes",B93,"")</f>
        <v/>
      </c>
    </row>
    <row r="94">
      <c r="A94">
        <f>Input_Data!A94</f>
        <v/>
      </c>
      <c r="B94">
        <f>Input_Data!B94</f>
        <v/>
      </c>
      <c r="C94">
        <f>Input_Data!C94</f>
        <v/>
      </c>
      <c r="D94">
        <f>IF(A94="","",SUM(Input_Data!D94:I94))</f>
        <v/>
      </c>
      <c r="E94">
        <f>IF(D94="","",D94/6)</f>
        <v/>
      </c>
      <c r="F94" s="2">
        <f>IF(D94="","",IF(COUNTA($D$2:$D$300)&lt;=1,0,PERCENTRANK.INC($D$2:$D$300,D94)))</f>
        <v/>
      </c>
      <c r="G94" s="2">
        <f>Input_Data!J94</f>
        <v/>
      </c>
      <c r="H94" s="2">
        <f>IF(G94="","",IF(COUNTA($G$2:$G$300)&lt;=1,0,PERCENTRANK.INC($G$2:$G$300,G94)))</f>
        <v/>
      </c>
      <c r="I94" s="2">
        <f>IF(F94="","",1-F94)</f>
        <v/>
      </c>
      <c r="J94" s="2">
        <f>IF(A94="","",0.6*I94+0.4*H94)</f>
        <v/>
      </c>
      <c r="K94">
        <f>IF(F94="","",IF(F94&lt;=0.33,"Low Movement",IF(F94&lt;=0.66,"Medium Movement","High Movement")))</f>
        <v/>
      </c>
      <c r="L94">
        <f>IF(J94="","",IF(J94&gt;=0.67,"High Value Bundle",IF(J94&gt;=0.34,"Medium Value Bundle","Low Value Bundle")))</f>
        <v/>
      </c>
      <c r="M94">
        <f>IF(A94="","",IF(AND(F94&gt;=0.66,H94&gt;=0.66),"Yes","No"))</f>
        <v/>
      </c>
      <c r="N94">
        <f>IF(A94="","",IF(K94="Low Movement","Yes","No"))</f>
        <v/>
      </c>
      <c r="O94" s="2">
        <f>IF(L94="","",IF(L94="High Value Bundle",0.10,IF(L94="Medium Value Bundle",0.15,0.20)))</f>
        <v/>
      </c>
      <c r="P94">
        <f>IF(M94="Yes",C94&amp;"|anchor","")</f>
        <v/>
      </c>
      <c r="Q94">
        <f>IF(M94="Yes",B94,"")</f>
        <v/>
      </c>
    </row>
    <row r="95">
      <c r="A95">
        <f>Input_Data!A95</f>
        <v/>
      </c>
      <c r="B95">
        <f>Input_Data!B95</f>
        <v/>
      </c>
      <c r="C95">
        <f>Input_Data!C95</f>
        <v/>
      </c>
      <c r="D95">
        <f>IF(A95="","",SUM(Input_Data!D95:I95))</f>
        <v/>
      </c>
      <c r="E95">
        <f>IF(D95="","",D95/6)</f>
        <v/>
      </c>
      <c r="F95" s="2">
        <f>IF(D95="","",IF(COUNTA($D$2:$D$300)&lt;=1,0,PERCENTRANK.INC($D$2:$D$300,D95)))</f>
        <v/>
      </c>
      <c r="G95" s="2">
        <f>Input_Data!J95</f>
        <v/>
      </c>
      <c r="H95" s="2">
        <f>IF(G95="","",IF(COUNTA($G$2:$G$300)&lt;=1,0,PERCENTRANK.INC($G$2:$G$300,G95)))</f>
        <v/>
      </c>
      <c r="I95" s="2">
        <f>IF(F95="","",1-F95)</f>
        <v/>
      </c>
      <c r="J95" s="2">
        <f>IF(A95="","",0.6*I95+0.4*H95)</f>
        <v/>
      </c>
      <c r="K95">
        <f>IF(F95="","",IF(F95&lt;=0.33,"Low Movement",IF(F95&lt;=0.66,"Medium Movement","High Movement")))</f>
        <v/>
      </c>
      <c r="L95">
        <f>IF(J95="","",IF(J95&gt;=0.67,"High Value Bundle",IF(J95&gt;=0.34,"Medium Value Bundle","Low Value Bundle")))</f>
        <v/>
      </c>
      <c r="M95">
        <f>IF(A95="","",IF(AND(F95&gt;=0.66,H95&gt;=0.66),"Yes","No"))</f>
        <v/>
      </c>
      <c r="N95">
        <f>IF(A95="","",IF(K95="Low Movement","Yes","No"))</f>
        <v/>
      </c>
      <c r="O95" s="2">
        <f>IF(L95="","",IF(L95="High Value Bundle",0.10,IF(L95="Medium Value Bundle",0.15,0.20)))</f>
        <v/>
      </c>
      <c r="P95">
        <f>IF(M95="Yes",C95&amp;"|anchor","")</f>
        <v/>
      </c>
      <c r="Q95">
        <f>IF(M95="Yes",B95,"")</f>
        <v/>
      </c>
    </row>
    <row r="96">
      <c r="A96">
        <f>Input_Data!A96</f>
        <v/>
      </c>
      <c r="B96">
        <f>Input_Data!B96</f>
        <v/>
      </c>
      <c r="C96">
        <f>Input_Data!C96</f>
        <v/>
      </c>
      <c r="D96">
        <f>IF(A96="","",SUM(Input_Data!D96:I96))</f>
        <v/>
      </c>
      <c r="E96">
        <f>IF(D96="","",D96/6)</f>
        <v/>
      </c>
      <c r="F96" s="2">
        <f>IF(D96="","",IF(COUNTA($D$2:$D$300)&lt;=1,0,PERCENTRANK.INC($D$2:$D$300,D96)))</f>
        <v/>
      </c>
      <c r="G96" s="2">
        <f>Input_Data!J96</f>
        <v/>
      </c>
      <c r="H96" s="2">
        <f>IF(G96="","",IF(COUNTA($G$2:$G$300)&lt;=1,0,PERCENTRANK.INC($G$2:$G$300,G96)))</f>
        <v/>
      </c>
      <c r="I96" s="2">
        <f>IF(F96="","",1-F96)</f>
        <v/>
      </c>
      <c r="J96" s="2">
        <f>IF(A96="","",0.6*I96+0.4*H96)</f>
        <v/>
      </c>
      <c r="K96">
        <f>IF(F96="","",IF(F96&lt;=0.33,"Low Movement",IF(F96&lt;=0.66,"Medium Movement","High Movement")))</f>
        <v/>
      </c>
      <c r="L96">
        <f>IF(J96="","",IF(J96&gt;=0.67,"High Value Bundle",IF(J96&gt;=0.34,"Medium Value Bundle","Low Value Bundle")))</f>
        <v/>
      </c>
      <c r="M96">
        <f>IF(A96="","",IF(AND(F96&gt;=0.66,H96&gt;=0.66),"Yes","No"))</f>
        <v/>
      </c>
      <c r="N96">
        <f>IF(A96="","",IF(K96="Low Movement","Yes","No"))</f>
        <v/>
      </c>
      <c r="O96" s="2">
        <f>IF(L96="","",IF(L96="High Value Bundle",0.10,IF(L96="Medium Value Bundle",0.15,0.20)))</f>
        <v/>
      </c>
      <c r="P96">
        <f>IF(M96="Yes",C96&amp;"|anchor","")</f>
        <v/>
      </c>
      <c r="Q96">
        <f>IF(M96="Yes",B96,"")</f>
        <v/>
      </c>
    </row>
    <row r="97">
      <c r="A97">
        <f>Input_Data!A97</f>
        <v/>
      </c>
      <c r="B97">
        <f>Input_Data!B97</f>
        <v/>
      </c>
      <c r="C97">
        <f>Input_Data!C97</f>
        <v/>
      </c>
      <c r="D97">
        <f>IF(A97="","",SUM(Input_Data!D97:I97))</f>
        <v/>
      </c>
      <c r="E97">
        <f>IF(D97="","",D97/6)</f>
        <v/>
      </c>
      <c r="F97" s="2">
        <f>IF(D97="","",IF(COUNTA($D$2:$D$300)&lt;=1,0,PERCENTRANK.INC($D$2:$D$300,D97)))</f>
        <v/>
      </c>
      <c r="G97" s="2">
        <f>Input_Data!J97</f>
        <v/>
      </c>
      <c r="H97" s="2">
        <f>IF(G97="","",IF(COUNTA($G$2:$G$300)&lt;=1,0,PERCENTRANK.INC($G$2:$G$300,G97)))</f>
        <v/>
      </c>
      <c r="I97" s="2">
        <f>IF(F97="","",1-F97)</f>
        <v/>
      </c>
      <c r="J97" s="2">
        <f>IF(A97="","",0.6*I97+0.4*H97)</f>
        <v/>
      </c>
      <c r="K97">
        <f>IF(F97="","",IF(F97&lt;=0.33,"Low Movement",IF(F97&lt;=0.66,"Medium Movement","High Movement")))</f>
        <v/>
      </c>
      <c r="L97">
        <f>IF(J97="","",IF(J97&gt;=0.67,"High Value Bundle",IF(J97&gt;=0.34,"Medium Value Bundle","Low Value Bundle")))</f>
        <v/>
      </c>
      <c r="M97">
        <f>IF(A97="","",IF(AND(F97&gt;=0.66,H97&gt;=0.66),"Yes","No"))</f>
        <v/>
      </c>
      <c r="N97">
        <f>IF(A97="","",IF(K97="Low Movement","Yes","No"))</f>
        <v/>
      </c>
      <c r="O97" s="2">
        <f>IF(L97="","",IF(L97="High Value Bundle",0.10,IF(L97="Medium Value Bundle",0.15,0.20)))</f>
        <v/>
      </c>
      <c r="P97">
        <f>IF(M97="Yes",C97&amp;"|anchor","")</f>
        <v/>
      </c>
      <c r="Q97">
        <f>IF(M97="Yes",B97,"")</f>
        <v/>
      </c>
    </row>
    <row r="98">
      <c r="A98">
        <f>Input_Data!A98</f>
        <v/>
      </c>
      <c r="B98">
        <f>Input_Data!B98</f>
        <v/>
      </c>
      <c r="C98">
        <f>Input_Data!C98</f>
        <v/>
      </c>
      <c r="D98">
        <f>IF(A98="","",SUM(Input_Data!D98:I98))</f>
        <v/>
      </c>
      <c r="E98">
        <f>IF(D98="","",D98/6)</f>
        <v/>
      </c>
      <c r="F98" s="2">
        <f>IF(D98="","",IF(COUNTA($D$2:$D$300)&lt;=1,0,PERCENTRANK.INC($D$2:$D$300,D98)))</f>
        <v/>
      </c>
      <c r="G98" s="2">
        <f>Input_Data!J98</f>
        <v/>
      </c>
      <c r="H98" s="2">
        <f>IF(G98="","",IF(COUNTA($G$2:$G$300)&lt;=1,0,PERCENTRANK.INC($G$2:$G$300,G98)))</f>
        <v/>
      </c>
      <c r="I98" s="2">
        <f>IF(F98="","",1-F98)</f>
        <v/>
      </c>
      <c r="J98" s="2">
        <f>IF(A98="","",0.6*I98+0.4*H98)</f>
        <v/>
      </c>
      <c r="K98">
        <f>IF(F98="","",IF(F98&lt;=0.33,"Low Movement",IF(F98&lt;=0.66,"Medium Movement","High Movement")))</f>
        <v/>
      </c>
      <c r="L98">
        <f>IF(J98="","",IF(J98&gt;=0.67,"High Value Bundle",IF(J98&gt;=0.34,"Medium Value Bundle","Low Value Bundle")))</f>
        <v/>
      </c>
      <c r="M98">
        <f>IF(A98="","",IF(AND(F98&gt;=0.66,H98&gt;=0.66),"Yes","No"))</f>
        <v/>
      </c>
      <c r="N98">
        <f>IF(A98="","",IF(K98="Low Movement","Yes","No"))</f>
        <v/>
      </c>
      <c r="O98" s="2">
        <f>IF(L98="","",IF(L98="High Value Bundle",0.10,IF(L98="Medium Value Bundle",0.15,0.20)))</f>
        <v/>
      </c>
      <c r="P98">
        <f>IF(M98="Yes",C98&amp;"|anchor","")</f>
        <v/>
      </c>
      <c r="Q98">
        <f>IF(M98="Yes",B98,"")</f>
        <v/>
      </c>
    </row>
    <row r="99">
      <c r="A99">
        <f>Input_Data!A99</f>
        <v/>
      </c>
      <c r="B99">
        <f>Input_Data!B99</f>
        <v/>
      </c>
      <c r="C99">
        <f>Input_Data!C99</f>
        <v/>
      </c>
      <c r="D99">
        <f>IF(A99="","",SUM(Input_Data!D99:I99))</f>
        <v/>
      </c>
      <c r="E99">
        <f>IF(D99="","",D99/6)</f>
        <v/>
      </c>
      <c r="F99" s="2">
        <f>IF(D99="","",IF(COUNTA($D$2:$D$300)&lt;=1,0,PERCENTRANK.INC($D$2:$D$300,D99)))</f>
        <v/>
      </c>
      <c r="G99" s="2">
        <f>Input_Data!J99</f>
        <v/>
      </c>
      <c r="H99" s="2">
        <f>IF(G99="","",IF(COUNTA($G$2:$G$300)&lt;=1,0,PERCENTRANK.INC($G$2:$G$300,G99)))</f>
        <v/>
      </c>
      <c r="I99" s="2">
        <f>IF(F99="","",1-F99)</f>
        <v/>
      </c>
      <c r="J99" s="2">
        <f>IF(A99="","",0.6*I99+0.4*H99)</f>
        <v/>
      </c>
      <c r="K99">
        <f>IF(F99="","",IF(F99&lt;=0.33,"Low Movement",IF(F99&lt;=0.66,"Medium Movement","High Movement")))</f>
        <v/>
      </c>
      <c r="L99">
        <f>IF(J99="","",IF(J99&gt;=0.67,"High Value Bundle",IF(J99&gt;=0.34,"Medium Value Bundle","Low Value Bundle")))</f>
        <v/>
      </c>
      <c r="M99">
        <f>IF(A99="","",IF(AND(F99&gt;=0.66,H99&gt;=0.66),"Yes","No"))</f>
        <v/>
      </c>
      <c r="N99">
        <f>IF(A99="","",IF(K99="Low Movement","Yes","No"))</f>
        <v/>
      </c>
      <c r="O99" s="2">
        <f>IF(L99="","",IF(L99="High Value Bundle",0.10,IF(L99="Medium Value Bundle",0.15,0.20)))</f>
        <v/>
      </c>
      <c r="P99">
        <f>IF(M99="Yes",C99&amp;"|anchor","")</f>
        <v/>
      </c>
      <c r="Q99">
        <f>IF(M99="Yes",B99,"")</f>
        <v/>
      </c>
    </row>
    <row r="100">
      <c r="A100">
        <f>Input_Data!A100</f>
        <v/>
      </c>
      <c r="B100">
        <f>Input_Data!B100</f>
        <v/>
      </c>
      <c r="C100">
        <f>Input_Data!C100</f>
        <v/>
      </c>
      <c r="D100">
        <f>IF(A100="","",SUM(Input_Data!D100:I100))</f>
        <v/>
      </c>
      <c r="E100">
        <f>IF(D100="","",D100/6)</f>
        <v/>
      </c>
      <c r="F100" s="2">
        <f>IF(D100="","",IF(COUNTA($D$2:$D$300)&lt;=1,0,PERCENTRANK.INC($D$2:$D$300,D100)))</f>
        <v/>
      </c>
      <c r="G100" s="2">
        <f>Input_Data!J100</f>
        <v/>
      </c>
      <c r="H100" s="2">
        <f>IF(G100="","",IF(COUNTA($G$2:$G$300)&lt;=1,0,PERCENTRANK.INC($G$2:$G$300,G100)))</f>
        <v/>
      </c>
      <c r="I100" s="2">
        <f>IF(F100="","",1-F100)</f>
        <v/>
      </c>
      <c r="J100" s="2">
        <f>IF(A100="","",0.6*I100+0.4*H100)</f>
        <v/>
      </c>
      <c r="K100">
        <f>IF(F100="","",IF(F100&lt;=0.33,"Low Movement",IF(F100&lt;=0.66,"Medium Movement","High Movement")))</f>
        <v/>
      </c>
      <c r="L100">
        <f>IF(J100="","",IF(J100&gt;=0.67,"High Value Bundle",IF(J100&gt;=0.34,"Medium Value Bundle","Low Value Bundle")))</f>
        <v/>
      </c>
      <c r="M100">
        <f>IF(A100="","",IF(AND(F100&gt;=0.66,H100&gt;=0.66),"Yes","No"))</f>
        <v/>
      </c>
      <c r="N100">
        <f>IF(A100="","",IF(K100="Low Movement","Yes","No"))</f>
        <v/>
      </c>
      <c r="O100" s="2">
        <f>IF(L100="","",IF(L100="High Value Bundle",0.10,IF(L100="Medium Value Bundle",0.15,0.20)))</f>
        <v/>
      </c>
      <c r="P100">
        <f>IF(M100="Yes",C100&amp;"|anchor","")</f>
        <v/>
      </c>
      <c r="Q100">
        <f>IF(M100="Yes",B100,"")</f>
        <v/>
      </c>
    </row>
    <row r="101">
      <c r="A101">
        <f>Input_Data!A101</f>
        <v/>
      </c>
      <c r="B101">
        <f>Input_Data!B101</f>
        <v/>
      </c>
      <c r="C101">
        <f>Input_Data!C101</f>
        <v/>
      </c>
      <c r="D101">
        <f>IF(A101="","",SUM(Input_Data!D101:I101))</f>
        <v/>
      </c>
      <c r="E101">
        <f>IF(D101="","",D101/6)</f>
        <v/>
      </c>
      <c r="F101" s="2">
        <f>IF(D101="","",IF(COUNTA($D$2:$D$300)&lt;=1,0,PERCENTRANK.INC($D$2:$D$300,D101)))</f>
        <v/>
      </c>
      <c r="G101" s="2">
        <f>Input_Data!J101</f>
        <v/>
      </c>
      <c r="H101" s="2">
        <f>IF(G101="","",IF(COUNTA($G$2:$G$300)&lt;=1,0,PERCENTRANK.INC($G$2:$G$300,G101)))</f>
        <v/>
      </c>
      <c r="I101" s="2">
        <f>IF(F101="","",1-F101)</f>
        <v/>
      </c>
      <c r="J101" s="2">
        <f>IF(A101="","",0.6*I101+0.4*H101)</f>
        <v/>
      </c>
      <c r="K101">
        <f>IF(F101="","",IF(F101&lt;=0.33,"Low Movement",IF(F101&lt;=0.66,"Medium Movement","High Movement")))</f>
        <v/>
      </c>
      <c r="L101">
        <f>IF(J101="","",IF(J101&gt;=0.67,"High Value Bundle",IF(J101&gt;=0.34,"Medium Value Bundle","Low Value Bundle")))</f>
        <v/>
      </c>
      <c r="M101">
        <f>IF(A101="","",IF(AND(F101&gt;=0.66,H101&gt;=0.66),"Yes","No"))</f>
        <v/>
      </c>
      <c r="N101">
        <f>IF(A101="","",IF(K101="Low Movement","Yes","No"))</f>
        <v/>
      </c>
      <c r="O101" s="2">
        <f>IF(L101="","",IF(L101="High Value Bundle",0.10,IF(L101="Medium Value Bundle",0.15,0.20)))</f>
        <v/>
      </c>
      <c r="P101">
        <f>IF(M101="Yes",C101&amp;"|anchor","")</f>
        <v/>
      </c>
      <c r="Q101">
        <f>IF(M101="Yes",B101,"")</f>
        <v/>
      </c>
    </row>
    <row r="102">
      <c r="A102">
        <f>Input_Data!A102</f>
        <v/>
      </c>
      <c r="B102">
        <f>Input_Data!B102</f>
        <v/>
      </c>
      <c r="C102">
        <f>Input_Data!C102</f>
        <v/>
      </c>
      <c r="D102">
        <f>IF(A102="","",SUM(Input_Data!D102:I102))</f>
        <v/>
      </c>
      <c r="E102">
        <f>IF(D102="","",D102/6)</f>
        <v/>
      </c>
      <c r="F102" s="2">
        <f>IF(D102="","",IF(COUNTA($D$2:$D$300)&lt;=1,0,PERCENTRANK.INC($D$2:$D$300,D102)))</f>
        <v/>
      </c>
      <c r="G102" s="2">
        <f>Input_Data!J102</f>
        <v/>
      </c>
      <c r="H102" s="2">
        <f>IF(G102="","",IF(COUNTA($G$2:$G$300)&lt;=1,0,PERCENTRANK.INC($G$2:$G$300,G102)))</f>
        <v/>
      </c>
      <c r="I102" s="2">
        <f>IF(F102="","",1-F102)</f>
        <v/>
      </c>
      <c r="J102" s="2">
        <f>IF(A102="","",0.6*I102+0.4*H102)</f>
        <v/>
      </c>
      <c r="K102">
        <f>IF(F102="","",IF(F102&lt;=0.33,"Low Movement",IF(F102&lt;=0.66,"Medium Movement","High Movement")))</f>
        <v/>
      </c>
      <c r="L102">
        <f>IF(J102="","",IF(J102&gt;=0.67,"High Value Bundle",IF(J102&gt;=0.34,"Medium Value Bundle","Low Value Bundle")))</f>
        <v/>
      </c>
      <c r="M102">
        <f>IF(A102="","",IF(AND(F102&gt;=0.66,H102&gt;=0.66),"Yes","No"))</f>
        <v/>
      </c>
      <c r="N102">
        <f>IF(A102="","",IF(K102="Low Movement","Yes","No"))</f>
        <v/>
      </c>
      <c r="O102" s="2">
        <f>IF(L102="","",IF(L102="High Value Bundle",0.10,IF(L102="Medium Value Bundle",0.15,0.20)))</f>
        <v/>
      </c>
      <c r="P102">
        <f>IF(M102="Yes",C102&amp;"|anchor","")</f>
        <v/>
      </c>
      <c r="Q102">
        <f>IF(M102="Yes",B102,"")</f>
        <v/>
      </c>
    </row>
    <row r="103">
      <c r="A103">
        <f>Input_Data!A103</f>
        <v/>
      </c>
      <c r="B103">
        <f>Input_Data!B103</f>
        <v/>
      </c>
      <c r="C103">
        <f>Input_Data!C103</f>
        <v/>
      </c>
      <c r="D103">
        <f>IF(A103="","",SUM(Input_Data!D103:I103))</f>
        <v/>
      </c>
      <c r="E103">
        <f>IF(D103="","",D103/6)</f>
        <v/>
      </c>
      <c r="F103" s="2">
        <f>IF(D103="","",IF(COUNTA($D$2:$D$300)&lt;=1,0,PERCENTRANK.INC($D$2:$D$300,D103)))</f>
        <v/>
      </c>
      <c r="G103" s="2">
        <f>Input_Data!J103</f>
        <v/>
      </c>
      <c r="H103" s="2">
        <f>IF(G103="","",IF(COUNTA($G$2:$G$300)&lt;=1,0,PERCENTRANK.INC($G$2:$G$300,G103)))</f>
        <v/>
      </c>
      <c r="I103" s="2">
        <f>IF(F103="","",1-F103)</f>
        <v/>
      </c>
      <c r="J103" s="2">
        <f>IF(A103="","",0.6*I103+0.4*H103)</f>
        <v/>
      </c>
      <c r="K103">
        <f>IF(F103="","",IF(F103&lt;=0.33,"Low Movement",IF(F103&lt;=0.66,"Medium Movement","High Movement")))</f>
        <v/>
      </c>
      <c r="L103">
        <f>IF(J103="","",IF(J103&gt;=0.67,"High Value Bundle",IF(J103&gt;=0.34,"Medium Value Bundle","Low Value Bundle")))</f>
        <v/>
      </c>
      <c r="M103">
        <f>IF(A103="","",IF(AND(F103&gt;=0.66,H103&gt;=0.66),"Yes","No"))</f>
        <v/>
      </c>
      <c r="N103">
        <f>IF(A103="","",IF(K103="Low Movement","Yes","No"))</f>
        <v/>
      </c>
      <c r="O103" s="2">
        <f>IF(L103="","",IF(L103="High Value Bundle",0.10,IF(L103="Medium Value Bundle",0.15,0.20)))</f>
        <v/>
      </c>
      <c r="P103">
        <f>IF(M103="Yes",C103&amp;"|anchor","")</f>
        <v/>
      </c>
      <c r="Q103">
        <f>IF(M103="Yes",B103,"")</f>
        <v/>
      </c>
    </row>
    <row r="104">
      <c r="A104">
        <f>Input_Data!A104</f>
        <v/>
      </c>
      <c r="B104">
        <f>Input_Data!B104</f>
        <v/>
      </c>
      <c r="C104">
        <f>Input_Data!C104</f>
        <v/>
      </c>
      <c r="D104">
        <f>IF(A104="","",SUM(Input_Data!D104:I104))</f>
        <v/>
      </c>
      <c r="E104">
        <f>IF(D104="","",D104/6)</f>
        <v/>
      </c>
      <c r="F104" s="2">
        <f>IF(D104="","",IF(COUNTA($D$2:$D$300)&lt;=1,0,PERCENTRANK.INC($D$2:$D$300,D104)))</f>
        <v/>
      </c>
      <c r="G104" s="2">
        <f>Input_Data!J104</f>
        <v/>
      </c>
      <c r="H104" s="2">
        <f>IF(G104="","",IF(COUNTA($G$2:$G$300)&lt;=1,0,PERCENTRANK.INC($G$2:$G$300,G104)))</f>
        <v/>
      </c>
      <c r="I104" s="2">
        <f>IF(F104="","",1-F104)</f>
        <v/>
      </c>
      <c r="J104" s="2">
        <f>IF(A104="","",0.6*I104+0.4*H104)</f>
        <v/>
      </c>
      <c r="K104">
        <f>IF(F104="","",IF(F104&lt;=0.33,"Low Movement",IF(F104&lt;=0.66,"Medium Movement","High Movement")))</f>
        <v/>
      </c>
      <c r="L104">
        <f>IF(J104="","",IF(J104&gt;=0.67,"High Value Bundle",IF(J104&gt;=0.34,"Medium Value Bundle","Low Value Bundle")))</f>
        <v/>
      </c>
      <c r="M104">
        <f>IF(A104="","",IF(AND(F104&gt;=0.66,H104&gt;=0.66),"Yes","No"))</f>
        <v/>
      </c>
      <c r="N104">
        <f>IF(A104="","",IF(K104="Low Movement","Yes","No"))</f>
        <v/>
      </c>
      <c r="O104" s="2">
        <f>IF(L104="","",IF(L104="High Value Bundle",0.10,IF(L104="Medium Value Bundle",0.15,0.20)))</f>
        <v/>
      </c>
      <c r="P104">
        <f>IF(M104="Yes",C104&amp;"|anchor","")</f>
        <v/>
      </c>
      <c r="Q104">
        <f>IF(M104="Yes",B104,"")</f>
        <v/>
      </c>
    </row>
    <row r="105">
      <c r="A105">
        <f>Input_Data!A105</f>
        <v/>
      </c>
      <c r="B105">
        <f>Input_Data!B105</f>
        <v/>
      </c>
      <c r="C105">
        <f>Input_Data!C105</f>
        <v/>
      </c>
      <c r="D105">
        <f>IF(A105="","",SUM(Input_Data!D105:I105))</f>
        <v/>
      </c>
      <c r="E105">
        <f>IF(D105="","",D105/6)</f>
        <v/>
      </c>
      <c r="F105" s="2">
        <f>IF(D105="","",IF(COUNTA($D$2:$D$300)&lt;=1,0,PERCENTRANK.INC($D$2:$D$300,D105)))</f>
        <v/>
      </c>
      <c r="G105" s="2">
        <f>Input_Data!J105</f>
        <v/>
      </c>
      <c r="H105" s="2">
        <f>IF(G105="","",IF(COUNTA($G$2:$G$300)&lt;=1,0,PERCENTRANK.INC($G$2:$G$300,G105)))</f>
        <v/>
      </c>
      <c r="I105" s="2">
        <f>IF(F105="","",1-F105)</f>
        <v/>
      </c>
      <c r="J105" s="2">
        <f>IF(A105="","",0.6*I105+0.4*H105)</f>
        <v/>
      </c>
      <c r="K105">
        <f>IF(F105="","",IF(F105&lt;=0.33,"Low Movement",IF(F105&lt;=0.66,"Medium Movement","High Movement")))</f>
        <v/>
      </c>
      <c r="L105">
        <f>IF(J105="","",IF(J105&gt;=0.67,"High Value Bundle",IF(J105&gt;=0.34,"Medium Value Bundle","Low Value Bundle")))</f>
        <v/>
      </c>
      <c r="M105">
        <f>IF(A105="","",IF(AND(F105&gt;=0.66,H105&gt;=0.66),"Yes","No"))</f>
        <v/>
      </c>
      <c r="N105">
        <f>IF(A105="","",IF(K105="Low Movement","Yes","No"))</f>
        <v/>
      </c>
      <c r="O105" s="2">
        <f>IF(L105="","",IF(L105="High Value Bundle",0.10,IF(L105="Medium Value Bundle",0.15,0.20)))</f>
        <v/>
      </c>
      <c r="P105">
        <f>IF(M105="Yes",C105&amp;"|anchor","")</f>
        <v/>
      </c>
      <c r="Q105">
        <f>IF(M105="Yes",B105,"")</f>
        <v/>
      </c>
    </row>
    <row r="106">
      <c r="A106">
        <f>Input_Data!A106</f>
        <v/>
      </c>
      <c r="B106">
        <f>Input_Data!B106</f>
        <v/>
      </c>
      <c r="C106">
        <f>Input_Data!C106</f>
        <v/>
      </c>
      <c r="D106">
        <f>IF(A106="","",SUM(Input_Data!D106:I106))</f>
        <v/>
      </c>
      <c r="E106">
        <f>IF(D106="","",D106/6)</f>
        <v/>
      </c>
      <c r="F106" s="2">
        <f>IF(D106="","",IF(COUNTA($D$2:$D$300)&lt;=1,0,PERCENTRANK.INC($D$2:$D$300,D106)))</f>
        <v/>
      </c>
      <c r="G106" s="2">
        <f>Input_Data!J106</f>
        <v/>
      </c>
      <c r="H106" s="2">
        <f>IF(G106="","",IF(COUNTA($G$2:$G$300)&lt;=1,0,PERCENTRANK.INC($G$2:$G$300,G106)))</f>
        <v/>
      </c>
      <c r="I106" s="2">
        <f>IF(F106="","",1-F106)</f>
        <v/>
      </c>
      <c r="J106" s="2">
        <f>IF(A106="","",0.6*I106+0.4*H106)</f>
        <v/>
      </c>
      <c r="K106">
        <f>IF(F106="","",IF(F106&lt;=0.33,"Low Movement",IF(F106&lt;=0.66,"Medium Movement","High Movement")))</f>
        <v/>
      </c>
      <c r="L106">
        <f>IF(J106="","",IF(J106&gt;=0.67,"High Value Bundle",IF(J106&gt;=0.34,"Medium Value Bundle","Low Value Bundle")))</f>
        <v/>
      </c>
      <c r="M106">
        <f>IF(A106="","",IF(AND(F106&gt;=0.66,H106&gt;=0.66),"Yes","No"))</f>
        <v/>
      </c>
      <c r="N106">
        <f>IF(A106="","",IF(K106="Low Movement","Yes","No"))</f>
        <v/>
      </c>
      <c r="O106" s="2">
        <f>IF(L106="","",IF(L106="High Value Bundle",0.10,IF(L106="Medium Value Bundle",0.15,0.20)))</f>
        <v/>
      </c>
      <c r="P106">
        <f>IF(M106="Yes",C106&amp;"|anchor","")</f>
        <v/>
      </c>
      <c r="Q106">
        <f>IF(M106="Yes",B106,"")</f>
        <v/>
      </c>
    </row>
    <row r="107">
      <c r="A107">
        <f>Input_Data!A107</f>
        <v/>
      </c>
      <c r="B107">
        <f>Input_Data!B107</f>
        <v/>
      </c>
      <c r="C107">
        <f>Input_Data!C107</f>
        <v/>
      </c>
      <c r="D107">
        <f>IF(A107="","",SUM(Input_Data!D107:I107))</f>
        <v/>
      </c>
      <c r="E107">
        <f>IF(D107="","",D107/6)</f>
        <v/>
      </c>
      <c r="F107" s="2">
        <f>IF(D107="","",IF(COUNTA($D$2:$D$300)&lt;=1,0,PERCENTRANK.INC($D$2:$D$300,D107)))</f>
        <v/>
      </c>
      <c r="G107" s="2">
        <f>Input_Data!J107</f>
        <v/>
      </c>
      <c r="H107" s="2">
        <f>IF(G107="","",IF(COUNTA($G$2:$G$300)&lt;=1,0,PERCENTRANK.INC($G$2:$G$300,G107)))</f>
        <v/>
      </c>
      <c r="I107" s="2">
        <f>IF(F107="","",1-F107)</f>
        <v/>
      </c>
      <c r="J107" s="2">
        <f>IF(A107="","",0.6*I107+0.4*H107)</f>
        <v/>
      </c>
      <c r="K107">
        <f>IF(F107="","",IF(F107&lt;=0.33,"Low Movement",IF(F107&lt;=0.66,"Medium Movement","High Movement")))</f>
        <v/>
      </c>
      <c r="L107">
        <f>IF(J107="","",IF(J107&gt;=0.67,"High Value Bundle",IF(J107&gt;=0.34,"Medium Value Bundle","Low Value Bundle")))</f>
        <v/>
      </c>
      <c r="M107">
        <f>IF(A107="","",IF(AND(F107&gt;=0.66,H107&gt;=0.66),"Yes","No"))</f>
        <v/>
      </c>
      <c r="N107">
        <f>IF(A107="","",IF(K107="Low Movement","Yes","No"))</f>
        <v/>
      </c>
      <c r="O107" s="2">
        <f>IF(L107="","",IF(L107="High Value Bundle",0.10,IF(L107="Medium Value Bundle",0.15,0.20)))</f>
        <v/>
      </c>
      <c r="P107">
        <f>IF(M107="Yes",C107&amp;"|anchor","")</f>
        <v/>
      </c>
      <c r="Q107">
        <f>IF(M107="Yes",B107,"")</f>
        <v/>
      </c>
    </row>
    <row r="108">
      <c r="A108">
        <f>Input_Data!A108</f>
        <v/>
      </c>
      <c r="B108">
        <f>Input_Data!B108</f>
        <v/>
      </c>
      <c r="C108">
        <f>Input_Data!C108</f>
        <v/>
      </c>
      <c r="D108">
        <f>IF(A108="","",SUM(Input_Data!D108:I108))</f>
        <v/>
      </c>
      <c r="E108">
        <f>IF(D108="","",D108/6)</f>
        <v/>
      </c>
      <c r="F108" s="2">
        <f>IF(D108="","",IF(COUNTA($D$2:$D$300)&lt;=1,0,PERCENTRANK.INC($D$2:$D$300,D108)))</f>
        <v/>
      </c>
      <c r="G108" s="2">
        <f>Input_Data!J108</f>
        <v/>
      </c>
      <c r="H108" s="2">
        <f>IF(G108="","",IF(COUNTA($G$2:$G$300)&lt;=1,0,PERCENTRANK.INC($G$2:$G$300,G108)))</f>
        <v/>
      </c>
      <c r="I108" s="2">
        <f>IF(F108="","",1-F108)</f>
        <v/>
      </c>
      <c r="J108" s="2">
        <f>IF(A108="","",0.6*I108+0.4*H108)</f>
        <v/>
      </c>
      <c r="K108">
        <f>IF(F108="","",IF(F108&lt;=0.33,"Low Movement",IF(F108&lt;=0.66,"Medium Movement","High Movement")))</f>
        <v/>
      </c>
      <c r="L108">
        <f>IF(J108="","",IF(J108&gt;=0.67,"High Value Bundle",IF(J108&gt;=0.34,"Medium Value Bundle","Low Value Bundle")))</f>
        <v/>
      </c>
      <c r="M108">
        <f>IF(A108="","",IF(AND(F108&gt;=0.66,H108&gt;=0.66),"Yes","No"))</f>
        <v/>
      </c>
      <c r="N108">
        <f>IF(A108="","",IF(K108="Low Movement","Yes","No"))</f>
        <v/>
      </c>
      <c r="O108" s="2">
        <f>IF(L108="","",IF(L108="High Value Bundle",0.10,IF(L108="Medium Value Bundle",0.15,0.20)))</f>
        <v/>
      </c>
      <c r="P108">
        <f>IF(M108="Yes",C108&amp;"|anchor","")</f>
        <v/>
      </c>
      <c r="Q108">
        <f>IF(M108="Yes",B108,"")</f>
        <v/>
      </c>
    </row>
    <row r="109">
      <c r="A109">
        <f>Input_Data!A109</f>
        <v/>
      </c>
      <c r="B109">
        <f>Input_Data!B109</f>
        <v/>
      </c>
      <c r="C109">
        <f>Input_Data!C109</f>
        <v/>
      </c>
      <c r="D109">
        <f>IF(A109="","",SUM(Input_Data!D109:I109))</f>
        <v/>
      </c>
      <c r="E109">
        <f>IF(D109="","",D109/6)</f>
        <v/>
      </c>
      <c r="F109" s="2">
        <f>IF(D109="","",IF(COUNTA($D$2:$D$300)&lt;=1,0,PERCENTRANK.INC($D$2:$D$300,D109)))</f>
        <v/>
      </c>
      <c r="G109" s="2">
        <f>Input_Data!J109</f>
        <v/>
      </c>
      <c r="H109" s="2">
        <f>IF(G109="","",IF(COUNTA($G$2:$G$300)&lt;=1,0,PERCENTRANK.INC($G$2:$G$300,G109)))</f>
        <v/>
      </c>
      <c r="I109" s="2">
        <f>IF(F109="","",1-F109)</f>
        <v/>
      </c>
      <c r="J109" s="2">
        <f>IF(A109="","",0.6*I109+0.4*H109)</f>
        <v/>
      </c>
      <c r="K109">
        <f>IF(F109="","",IF(F109&lt;=0.33,"Low Movement",IF(F109&lt;=0.66,"Medium Movement","High Movement")))</f>
        <v/>
      </c>
      <c r="L109">
        <f>IF(J109="","",IF(J109&gt;=0.67,"High Value Bundle",IF(J109&gt;=0.34,"Medium Value Bundle","Low Value Bundle")))</f>
        <v/>
      </c>
      <c r="M109">
        <f>IF(A109="","",IF(AND(F109&gt;=0.66,H109&gt;=0.66),"Yes","No"))</f>
        <v/>
      </c>
      <c r="N109">
        <f>IF(A109="","",IF(K109="Low Movement","Yes","No"))</f>
        <v/>
      </c>
      <c r="O109" s="2">
        <f>IF(L109="","",IF(L109="High Value Bundle",0.10,IF(L109="Medium Value Bundle",0.15,0.20)))</f>
        <v/>
      </c>
      <c r="P109">
        <f>IF(M109="Yes",C109&amp;"|anchor","")</f>
        <v/>
      </c>
      <c r="Q109">
        <f>IF(M109="Yes",B109,"")</f>
        <v/>
      </c>
    </row>
    <row r="110">
      <c r="A110">
        <f>Input_Data!A110</f>
        <v/>
      </c>
      <c r="B110">
        <f>Input_Data!B110</f>
        <v/>
      </c>
      <c r="C110">
        <f>Input_Data!C110</f>
        <v/>
      </c>
      <c r="D110">
        <f>IF(A110="","",SUM(Input_Data!D110:I110))</f>
        <v/>
      </c>
      <c r="E110">
        <f>IF(D110="","",D110/6)</f>
        <v/>
      </c>
      <c r="F110" s="2">
        <f>IF(D110="","",IF(COUNTA($D$2:$D$300)&lt;=1,0,PERCENTRANK.INC($D$2:$D$300,D110)))</f>
        <v/>
      </c>
      <c r="G110" s="2">
        <f>Input_Data!J110</f>
        <v/>
      </c>
      <c r="H110" s="2">
        <f>IF(G110="","",IF(COUNTA($G$2:$G$300)&lt;=1,0,PERCENTRANK.INC($G$2:$G$300,G110)))</f>
        <v/>
      </c>
      <c r="I110" s="2">
        <f>IF(F110="","",1-F110)</f>
        <v/>
      </c>
      <c r="J110" s="2">
        <f>IF(A110="","",0.6*I110+0.4*H110)</f>
        <v/>
      </c>
      <c r="K110">
        <f>IF(F110="","",IF(F110&lt;=0.33,"Low Movement",IF(F110&lt;=0.66,"Medium Movement","High Movement")))</f>
        <v/>
      </c>
      <c r="L110">
        <f>IF(J110="","",IF(J110&gt;=0.67,"High Value Bundle",IF(J110&gt;=0.34,"Medium Value Bundle","Low Value Bundle")))</f>
        <v/>
      </c>
      <c r="M110">
        <f>IF(A110="","",IF(AND(F110&gt;=0.66,H110&gt;=0.66),"Yes","No"))</f>
        <v/>
      </c>
      <c r="N110">
        <f>IF(A110="","",IF(K110="Low Movement","Yes","No"))</f>
        <v/>
      </c>
      <c r="O110" s="2">
        <f>IF(L110="","",IF(L110="High Value Bundle",0.10,IF(L110="Medium Value Bundle",0.15,0.20)))</f>
        <v/>
      </c>
      <c r="P110">
        <f>IF(M110="Yes",C110&amp;"|anchor","")</f>
        <v/>
      </c>
      <c r="Q110">
        <f>IF(M110="Yes",B110,"")</f>
        <v/>
      </c>
    </row>
    <row r="111">
      <c r="A111">
        <f>Input_Data!A111</f>
        <v/>
      </c>
      <c r="B111">
        <f>Input_Data!B111</f>
        <v/>
      </c>
      <c r="C111">
        <f>Input_Data!C111</f>
        <v/>
      </c>
      <c r="D111">
        <f>IF(A111="","",SUM(Input_Data!D111:I111))</f>
        <v/>
      </c>
      <c r="E111">
        <f>IF(D111="","",D111/6)</f>
        <v/>
      </c>
      <c r="F111" s="2">
        <f>IF(D111="","",IF(COUNTA($D$2:$D$300)&lt;=1,0,PERCENTRANK.INC($D$2:$D$300,D111)))</f>
        <v/>
      </c>
      <c r="G111" s="2">
        <f>Input_Data!J111</f>
        <v/>
      </c>
      <c r="H111" s="2">
        <f>IF(G111="","",IF(COUNTA($G$2:$G$300)&lt;=1,0,PERCENTRANK.INC($G$2:$G$300,G111)))</f>
        <v/>
      </c>
      <c r="I111" s="2">
        <f>IF(F111="","",1-F111)</f>
        <v/>
      </c>
      <c r="J111" s="2">
        <f>IF(A111="","",0.6*I111+0.4*H111)</f>
        <v/>
      </c>
      <c r="K111">
        <f>IF(F111="","",IF(F111&lt;=0.33,"Low Movement",IF(F111&lt;=0.66,"Medium Movement","High Movement")))</f>
        <v/>
      </c>
      <c r="L111">
        <f>IF(J111="","",IF(J111&gt;=0.67,"High Value Bundle",IF(J111&gt;=0.34,"Medium Value Bundle","Low Value Bundle")))</f>
        <v/>
      </c>
      <c r="M111">
        <f>IF(A111="","",IF(AND(F111&gt;=0.66,H111&gt;=0.66),"Yes","No"))</f>
        <v/>
      </c>
      <c r="N111">
        <f>IF(A111="","",IF(K111="Low Movement","Yes","No"))</f>
        <v/>
      </c>
      <c r="O111" s="2">
        <f>IF(L111="","",IF(L111="High Value Bundle",0.10,IF(L111="Medium Value Bundle",0.15,0.20)))</f>
        <v/>
      </c>
      <c r="P111">
        <f>IF(M111="Yes",C111&amp;"|anchor","")</f>
        <v/>
      </c>
      <c r="Q111">
        <f>IF(M111="Yes",B111,"")</f>
        <v/>
      </c>
    </row>
    <row r="112">
      <c r="A112">
        <f>Input_Data!A112</f>
        <v/>
      </c>
      <c r="B112">
        <f>Input_Data!B112</f>
        <v/>
      </c>
      <c r="C112">
        <f>Input_Data!C112</f>
        <v/>
      </c>
      <c r="D112">
        <f>IF(A112="","",SUM(Input_Data!D112:I112))</f>
        <v/>
      </c>
      <c r="E112">
        <f>IF(D112="","",D112/6)</f>
        <v/>
      </c>
      <c r="F112" s="2">
        <f>IF(D112="","",IF(COUNTA($D$2:$D$300)&lt;=1,0,PERCENTRANK.INC($D$2:$D$300,D112)))</f>
        <v/>
      </c>
      <c r="G112" s="2">
        <f>Input_Data!J112</f>
        <v/>
      </c>
      <c r="H112" s="2">
        <f>IF(G112="","",IF(COUNTA($G$2:$G$300)&lt;=1,0,PERCENTRANK.INC($G$2:$G$300,G112)))</f>
        <v/>
      </c>
      <c r="I112" s="2">
        <f>IF(F112="","",1-F112)</f>
        <v/>
      </c>
      <c r="J112" s="2">
        <f>IF(A112="","",0.6*I112+0.4*H112)</f>
        <v/>
      </c>
      <c r="K112">
        <f>IF(F112="","",IF(F112&lt;=0.33,"Low Movement",IF(F112&lt;=0.66,"Medium Movement","High Movement")))</f>
        <v/>
      </c>
      <c r="L112">
        <f>IF(J112="","",IF(J112&gt;=0.67,"High Value Bundle",IF(J112&gt;=0.34,"Medium Value Bundle","Low Value Bundle")))</f>
        <v/>
      </c>
      <c r="M112">
        <f>IF(A112="","",IF(AND(F112&gt;=0.66,H112&gt;=0.66),"Yes","No"))</f>
        <v/>
      </c>
      <c r="N112">
        <f>IF(A112="","",IF(K112="Low Movement","Yes","No"))</f>
        <v/>
      </c>
      <c r="O112" s="2">
        <f>IF(L112="","",IF(L112="High Value Bundle",0.10,IF(L112="Medium Value Bundle",0.15,0.20)))</f>
        <v/>
      </c>
      <c r="P112">
        <f>IF(M112="Yes",C112&amp;"|anchor","")</f>
        <v/>
      </c>
      <c r="Q112">
        <f>IF(M112="Yes",B112,"")</f>
        <v/>
      </c>
    </row>
    <row r="113">
      <c r="A113">
        <f>Input_Data!A113</f>
        <v/>
      </c>
      <c r="B113">
        <f>Input_Data!B113</f>
        <v/>
      </c>
      <c r="C113">
        <f>Input_Data!C113</f>
        <v/>
      </c>
      <c r="D113">
        <f>IF(A113="","",SUM(Input_Data!D113:I113))</f>
        <v/>
      </c>
      <c r="E113">
        <f>IF(D113="","",D113/6)</f>
        <v/>
      </c>
      <c r="F113" s="2">
        <f>IF(D113="","",IF(COUNTA($D$2:$D$300)&lt;=1,0,PERCENTRANK.INC($D$2:$D$300,D113)))</f>
        <v/>
      </c>
      <c r="G113" s="2">
        <f>Input_Data!J113</f>
        <v/>
      </c>
      <c r="H113" s="2">
        <f>IF(G113="","",IF(COUNTA($G$2:$G$300)&lt;=1,0,PERCENTRANK.INC($G$2:$G$300,G113)))</f>
        <v/>
      </c>
      <c r="I113" s="2">
        <f>IF(F113="","",1-F113)</f>
        <v/>
      </c>
      <c r="J113" s="2">
        <f>IF(A113="","",0.6*I113+0.4*H113)</f>
        <v/>
      </c>
      <c r="K113">
        <f>IF(F113="","",IF(F113&lt;=0.33,"Low Movement",IF(F113&lt;=0.66,"Medium Movement","High Movement")))</f>
        <v/>
      </c>
      <c r="L113">
        <f>IF(J113="","",IF(J113&gt;=0.67,"High Value Bundle",IF(J113&gt;=0.34,"Medium Value Bundle","Low Value Bundle")))</f>
        <v/>
      </c>
      <c r="M113">
        <f>IF(A113="","",IF(AND(F113&gt;=0.66,H113&gt;=0.66),"Yes","No"))</f>
        <v/>
      </c>
      <c r="N113">
        <f>IF(A113="","",IF(K113="Low Movement","Yes","No"))</f>
        <v/>
      </c>
      <c r="O113" s="2">
        <f>IF(L113="","",IF(L113="High Value Bundle",0.10,IF(L113="Medium Value Bundle",0.15,0.20)))</f>
        <v/>
      </c>
      <c r="P113">
        <f>IF(M113="Yes",C113&amp;"|anchor","")</f>
        <v/>
      </c>
      <c r="Q113">
        <f>IF(M113="Yes",B113,"")</f>
        <v/>
      </c>
    </row>
    <row r="114">
      <c r="A114">
        <f>Input_Data!A114</f>
        <v/>
      </c>
      <c r="B114">
        <f>Input_Data!B114</f>
        <v/>
      </c>
      <c r="C114">
        <f>Input_Data!C114</f>
        <v/>
      </c>
      <c r="D114">
        <f>IF(A114="","",SUM(Input_Data!D114:I114))</f>
        <v/>
      </c>
      <c r="E114">
        <f>IF(D114="","",D114/6)</f>
        <v/>
      </c>
      <c r="F114" s="2">
        <f>IF(D114="","",IF(COUNTA($D$2:$D$300)&lt;=1,0,PERCENTRANK.INC($D$2:$D$300,D114)))</f>
        <v/>
      </c>
      <c r="G114" s="2">
        <f>Input_Data!J114</f>
        <v/>
      </c>
      <c r="H114" s="2">
        <f>IF(G114="","",IF(COUNTA($G$2:$G$300)&lt;=1,0,PERCENTRANK.INC($G$2:$G$300,G114)))</f>
        <v/>
      </c>
      <c r="I114" s="2">
        <f>IF(F114="","",1-F114)</f>
        <v/>
      </c>
      <c r="J114" s="2">
        <f>IF(A114="","",0.6*I114+0.4*H114)</f>
        <v/>
      </c>
      <c r="K114">
        <f>IF(F114="","",IF(F114&lt;=0.33,"Low Movement",IF(F114&lt;=0.66,"Medium Movement","High Movement")))</f>
        <v/>
      </c>
      <c r="L114">
        <f>IF(J114="","",IF(J114&gt;=0.67,"High Value Bundle",IF(J114&gt;=0.34,"Medium Value Bundle","Low Value Bundle")))</f>
        <v/>
      </c>
      <c r="M114">
        <f>IF(A114="","",IF(AND(F114&gt;=0.66,H114&gt;=0.66),"Yes","No"))</f>
        <v/>
      </c>
      <c r="N114">
        <f>IF(A114="","",IF(K114="Low Movement","Yes","No"))</f>
        <v/>
      </c>
      <c r="O114" s="2">
        <f>IF(L114="","",IF(L114="High Value Bundle",0.10,IF(L114="Medium Value Bundle",0.15,0.20)))</f>
        <v/>
      </c>
      <c r="P114">
        <f>IF(M114="Yes",C114&amp;"|anchor","")</f>
        <v/>
      </c>
      <c r="Q114">
        <f>IF(M114="Yes",B114,"")</f>
        <v/>
      </c>
    </row>
    <row r="115">
      <c r="A115">
        <f>Input_Data!A115</f>
        <v/>
      </c>
      <c r="B115">
        <f>Input_Data!B115</f>
        <v/>
      </c>
      <c r="C115">
        <f>Input_Data!C115</f>
        <v/>
      </c>
      <c r="D115">
        <f>IF(A115="","",SUM(Input_Data!D115:I115))</f>
        <v/>
      </c>
      <c r="E115">
        <f>IF(D115="","",D115/6)</f>
        <v/>
      </c>
      <c r="F115" s="2">
        <f>IF(D115="","",IF(COUNTA($D$2:$D$300)&lt;=1,0,PERCENTRANK.INC($D$2:$D$300,D115)))</f>
        <v/>
      </c>
      <c r="G115" s="2">
        <f>Input_Data!J115</f>
        <v/>
      </c>
      <c r="H115" s="2">
        <f>IF(G115="","",IF(COUNTA($G$2:$G$300)&lt;=1,0,PERCENTRANK.INC($G$2:$G$300,G115)))</f>
        <v/>
      </c>
      <c r="I115" s="2">
        <f>IF(F115="","",1-F115)</f>
        <v/>
      </c>
      <c r="J115" s="2">
        <f>IF(A115="","",0.6*I115+0.4*H115)</f>
        <v/>
      </c>
      <c r="K115">
        <f>IF(F115="","",IF(F115&lt;=0.33,"Low Movement",IF(F115&lt;=0.66,"Medium Movement","High Movement")))</f>
        <v/>
      </c>
      <c r="L115">
        <f>IF(J115="","",IF(J115&gt;=0.67,"High Value Bundle",IF(J115&gt;=0.34,"Medium Value Bundle","Low Value Bundle")))</f>
        <v/>
      </c>
      <c r="M115">
        <f>IF(A115="","",IF(AND(F115&gt;=0.66,H115&gt;=0.66),"Yes","No"))</f>
        <v/>
      </c>
      <c r="N115">
        <f>IF(A115="","",IF(K115="Low Movement","Yes","No"))</f>
        <v/>
      </c>
      <c r="O115" s="2">
        <f>IF(L115="","",IF(L115="High Value Bundle",0.10,IF(L115="Medium Value Bundle",0.15,0.20)))</f>
        <v/>
      </c>
      <c r="P115">
        <f>IF(M115="Yes",C115&amp;"|anchor","")</f>
        <v/>
      </c>
      <c r="Q115">
        <f>IF(M115="Yes",B115,"")</f>
        <v/>
      </c>
    </row>
    <row r="116">
      <c r="A116">
        <f>Input_Data!A116</f>
        <v/>
      </c>
      <c r="B116">
        <f>Input_Data!B116</f>
        <v/>
      </c>
      <c r="C116">
        <f>Input_Data!C116</f>
        <v/>
      </c>
      <c r="D116">
        <f>IF(A116="","",SUM(Input_Data!D116:I116))</f>
        <v/>
      </c>
      <c r="E116">
        <f>IF(D116="","",D116/6)</f>
        <v/>
      </c>
      <c r="F116" s="2">
        <f>IF(D116="","",IF(COUNTA($D$2:$D$300)&lt;=1,0,PERCENTRANK.INC($D$2:$D$300,D116)))</f>
        <v/>
      </c>
      <c r="G116" s="2">
        <f>Input_Data!J116</f>
        <v/>
      </c>
      <c r="H116" s="2">
        <f>IF(G116="","",IF(COUNTA($G$2:$G$300)&lt;=1,0,PERCENTRANK.INC($G$2:$G$300,G116)))</f>
        <v/>
      </c>
      <c r="I116" s="2">
        <f>IF(F116="","",1-F116)</f>
        <v/>
      </c>
      <c r="J116" s="2">
        <f>IF(A116="","",0.6*I116+0.4*H116)</f>
        <v/>
      </c>
      <c r="K116">
        <f>IF(F116="","",IF(F116&lt;=0.33,"Low Movement",IF(F116&lt;=0.66,"Medium Movement","High Movement")))</f>
        <v/>
      </c>
      <c r="L116">
        <f>IF(J116="","",IF(J116&gt;=0.67,"High Value Bundle",IF(J116&gt;=0.34,"Medium Value Bundle","Low Value Bundle")))</f>
        <v/>
      </c>
      <c r="M116">
        <f>IF(A116="","",IF(AND(F116&gt;=0.66,H116&gt;=0.66),"Yes","No"))</f>
        <v/>
      </c>
      <c r="N116">
        <f>IF(A116="","",IF(K116="Low Movement","Yes","No"))</f>
        <v/>
      </c>
      <c r="O116" s="2">
        <f>IF(L116="","",IF(L116="High Value Bundle",0.10,IF(L116="Medium Value Bundle",0.15,0.20)))</f>
        <v/>
      </c>
      <c r="P116">
        <f>IF(M116="Yes",C116&amp;"|anchor","")</f>
        <v/>
      </c>
      <c r="Q116">
        <f>IF(M116="Yes",B116,"")</f>
        <v/>
      </c>
    </row>
    <row r="117">
      <c r="A117">
        <f>Input_Data!A117</f>
        <v/>
      </c>
      <c r="B117">
        <f>Input_Data!B117</f>
        <v/>
      </c>
      <c r="C117">
        <f>Input_Data!C117</f>
        <v/>
      </c>
      <c r="D117">
        <f>IF(A117="","",SUM(Input_Data!D117:I117))</f>
        <v/>
      </c>
      <c r="E117">
        <f>IF(D117="","",D117/6)</f>
        <v/>
      </c>
      <c r="F117" s="2">
        <f>IF(D117="","",IF(COUNTA($D$2:$D$300)&lt;=1,0,PERCENTRANK.INC($D$2:$D$300,D117)))</f>
        <v/>
      </c>
      <c r="G117" s="2">
        <f>Input_Data!J117</f>
        <v/>
      </c>
      <c r="H117" s="2">
        <f>IF(G117="","",IF(COUNTA($G$2:$G$300)&lt;=1,0,PERCENTRANK.INC($G$2:$G$300,G117)))</f>
        <v/>
      </c>
      <c r="I117" s="2">
        <f>IF(F117="","",1-F117)</f>
        <v/>
      </c>
      <c r="J117" s="2">
        <f>IF(A117="","",0.6*I117+0.4*H117)</f>
        <v/>
      </c>
      <c r="K117">
        <f>IF(F117="","",IF(F117&lt;=0.33,"Low Movement",IF(F117&lt;=0.66,"Medium Movement","High Movement")))</f>
        <v/>
      </c>
      <c r="L117">
        <f>IF(J117="","",IF(J117&gt;=0.67,"High Value Bundle",IF(J117&gt;=0.34,"Medium Value Bundle","Low Value Bundle")))</f>
        <v/>
      </c>
      <c r="M117">
        <f>IF(A117="","",IF(AND(F117&gt;=0.66,H117&gt;=0.66),"Yes","No"))</f>
        <v/>
      </c>
      <c r="N117">
        <f>IF(A117="","",IF(K117="Low Movement","Yes","No"))</f>
        <v/>
      </c>
      <c r="O117" s="2">
        <f>IF(L117="","",IF(L117="High Value Bundle",0.10,IF(L117="Medium Value Bundle",0.15,0.20)))</f>
        <v/>
      </c>
      <c r="P117">
        <f>IF(M117="Yes",C117&amp;"|anchor","")</f>
        <v/>
      </c>
      <c r="Q117">
        <f>IF(M117="Yes",B117,"")</f>
        <v/>
      </c>
    </row>
    <row r="118">
      <c r="A118">
        <f>Input_Data!A118</f>
        <v/>
      </c>
      <c r="B118">
        <f>Input_Data!B118</f>
        <v/>
      </c>
      <c r="C118">
        <f>Input_Data!C118</f>
        <v/>
      </c>
      <c r="D118">
        <f>IF(A118="","",SUM(Input_Data!D118:I118))</f>
        <v/>
      </c>
      <c r="E118">
        <f>IF(D118="","",D118/6)</f>
        <v/>
      </c>
      <c r="F118" s="2">
        <f>IF(D118="","",IF(COUNTA($D$2:$D$300)&lt;=1,0,PERCENTRANK.INC($D$2:$D$300,D118)))</f>
        <v/>
      </c>
      <c r="G118" s="2">
        <f>Input_Data!J118</f>
        <v/>
      </c>
      <c r="H118" s="2">
        <f>IF(G118="","",IF(COUNTA($G$2:$G$300)&lt;=1,0,PERCENTRANK.INC($G$2:$G$300,G118)))</f>
        <v/>
      </c>
      <c r="I118" s="2">
        <f>IF(F118="","",1-F118)</f>
        <v/>
      </c>
      <c r="J118" s="2">
        <f>IF(A118="","",0.6*I118+0.4*H118)</f>
        <v/>
      </c>
      <c r="K118">
        <f>IF(F118="","",IF(F118&lt;=0.33,"Low Movement",IF(F118&lt;=0.66,"Medium Movement","High Movement")))</f>
        <v/>
      </c>
      <c r="L118">
        <f>IF(J118="","",IF(J118&gt;=0.67,"High Value Bundle",IF(J118&gt;=0.34,"Medium Value Bundle","Low Value Bundle")))</f>
        <v/>
      </c>
      <c r="M118">
        <f>IF(A118="","",IF(AND(F118&gt;=0.66,H118&gt;=0.66),"Yes","No"))</f>
        <v/>
      </c>
      <c r="N118">
        <f>IF(A118="","",IF(K118="Low Movement","Yes","No"))</f>
        <v/>
      </c>
      <c r="O118" s="2">
        <f>IF(L118="","",IF(L118="High Value Bundle",0.10,IF(L118="Medium Value Bundle",0.15,0.20)))</f>
        <v/>
      </c>
      <c r="P118">
        <f>IF(M118="Yes",C118&amp;"|anchor","")</f>
        <v/>
      </c>
      <c r="Q118">
        <f>IF(M118="Yes",B118,"")</f>
        <v/>
      </c>
    </row>
    <row r="119">
      <c r="A119">
        <f>Input_Data!A119</f>
        <v/>
      </c>
      <c r="B119">
        <f>Input_Data!B119</f>
        <v/>
      </c>
      <c r="C119">
        <f>Input_Data!C119</f>
        <v/>
      </c>
      <c r="D119">
        <f>IF(A119="","",SUM(Input_Data!D119:I119))</f>
        <v/>
      </c>
      <c r="E119">
        <f>IF(D119="","",D119/6)</f>
        <v/>
      </c>
      <c r="F119" s="2">
        <f>IF(D119="","",IF(COUNTA($D$2:$D$300)&lt;=1,0,PERCENTRANK.INC($D$2:$D$300,D119)))</f>
        <v/>
      </c>
      <c r="G119" s="2">
        <f>Input_Data!J119</f>
        <v/>
      </c>
      <c r="H119" s="2">
        <f>IF(G119="","",IF(COUNTA($G$2:$G$300)&lt;=1,0,PERCENTRANK.INC($G$2:$G$300,G119)))</f>
        <v/>
      </c>
      <c r="I119" s="2">
        <f>IF(F119="","",1-F119)</f>
        <v/>
      </c>
      <c r="J119" s="2">
        <f>IF(A119="","",0.6*I119+0.4*H119)</f>
        <v/>
      </c>
      <c r="K119">
        <f>IF(F119="","",IF(F119&lt;=0.33,"Low Movement",IF(F119&lt;=0.66,"Medium Movement","High Movement")))</f>
        <v/>
      </c>
      <c r="L119">
        <f>IF(J119="","",IF(J119&gt;=0.67,"High Value Bundle",IF(J119&gt;=0.34,"Medium Value Bundle","Low Value Bundle")))</f>
        <v/>
      </c>
      <c r="M119">
        <f>IF(A119="","",IF(AND(F119&gt;=0.66,H119&gt;=0.66),"Yes","No"))</f>
        <v/>
      </c>
      <c r="N119">
        <f>IF(A119="","",IF(K119="Low Movement","Yes","No"))</f>
        <v/>
      </c>
      <c r="O119" s="2">
        <f>IF(L119="","",IF(L119="High Value Bundle",0.10,IF(L119="Medium Value Bundle",0.15,0.20)))</f>
        <v/>
      </c>
      <c r="P119">
        <f>IF(M119="Yes",C119&amp;"|anchor","")</f>
        <v/>
      </c>
      <c r="Q119">
        <f>IF(M119="Yes",B119,"")</f>
        <v/>
      </c>
    </row>
    <row r="120">
      <c r="A120">
        <f>Input_Data!A120</f>
        <v/>
      </c>
      <c r="B120">
        <f>Input_Data!B120</f>
        <v/>
      </c>
      <c r="C120">
        <f>Input_Data!C120</f>
        <v/>
      </c>
      <c r="D120">
        <f>IF(A120="","",SUM(Input_Data!D120:I120))</f>
        <v/>
      </c>
      <c r="E120">
        <f>IF(D120="","",D120/6)</f>
        <v/>
      </c>
      <c r="F120" s="2">
        <f>IF(D120="","",IF(COUNTA($D$2:$D$300)&lt;=1,0,PERCENTRANK.INC($D$2:$D$300,D120)))</f>
        <v/>
      </c>
      <c r="G120" s="2">
        <f>Input_Data!J120</f>
        <v/>
      </c>
      <c r="H120" s="2">
        <f>IF(G120="","",IF(COUNTA($G$2:$G$300)&lt;=1,0,PERCENTRANK.INC($G$2:$G$300,G120)))</f>
        <v/>
      </c>
      <c r="I120" s="2">
        <f>IF(F120="","",1-F120)</f>
        <v/>
      </c>
      <c r="J120" s="2">
        <f>IF(A120="","",0.6*I120+0.4*H120)</f>
        <v/>
      </c>
      <c r="K120">
        <f>IF(F120="","",IF(F120&lt;=0.33,"Low Movement",IF(F120&lt;=0.66,"Medium Movement","High Movement")))</f>
        <v/>
      </c>
      <c r="L120">
        <f>IF(J120="","",IF(J120&gt;=0.67,"High Value Bundle",IF(J120&gt;=0.34,"Medium Value Bundle","Low Value Bundle")))</f>
        <v/>
      </c>
      <c r="M120">
        <f>IF(A120="","",IF(AND(F120&gt;=0.66,H120&gt;=0.66),"Yes","No"))</f>
        <v/>
      </c>
      <c r="N120">
        <f>IF(A120="","",IF(K120="Low Movement","Yes","No"))</f>
        <v/>
      </c>
      <c r="O120" s="2">
        <f>IF(L120="","",IF(L120="High Value Bundle",0.10,IF(L120="Medium Value Bundle",0.15,0.20)))</f>
        <v/>
      </c>
      <c r="P120">
        <f>IF(M120="Yes",C120&amp;"|anchor","")</f>
        <v/>
      </c>
      <c r="Q120">
        <f>IF(M120="Yes",B120,"")</f>
        <v/>
      </c>
    </row>
    <row r="121">
      <c r="A121">
        <f>Input_Data!A121</f>
        <v/>
      </c>
      <c r="B121">
        <f>Input_Data!B121</f>
        <v/>
      </c>
      <c r="C121">
        <f>Input_Data!C121</f>
        <v/>
      </c>
      <c r="D121">
        <f>IF(A121="","",SUM(Input_Data!D121:I121))</f>
        <v/>
      </c>
      <c r="E121">
        <f>IF(D121="","",D121/6)</f>
        <v/>
      </c>
      <c r="F121" s="2">
        <f>IF(D121="","",IF(COUNTA($D$2:$D$300)&lt;=1,0,PERCENTRANK.INC($D$2:$D$300,D121)))</f>
        <v/>
      </c>
      <c r="G121" s="2">
        <f>Input_Data!J121</f>
        <v/>
      </c>
      <c r="H121" s="2">
        <f>IF(G121="","",IF(COUNTA($G$2:$G$300)&lt;=1,0,PERCENTRANK.INC($G$2:$G$300,G121)))</f>
        <v/>
      </c>
      <c r="I121" s="2">
        <f>IF(F121="","",1-F121)</f>
        <v/>
      </c>
      <c r="J121" s="2">
        <f>IF(A121="","",0.6*I121+0.4*H121)</f>
        <v/>
      </c>
      <c r="K121">
        <f>IF(F121="","",IF(F121&lt;=0.33,"Low Movement",IF(F121&lt;=0.66,"Medium Movement","High Movement")))</f>
        <v/>
      </c>
      <c r="L121">
        <f>IF(J121="","",IF(J121&gt;=0.67,"High Value Bundle",IF(J121&gt;=0.34,"Medium Value Bundle","Low Value Bundle")))</f>
        <v/>
      </c>
      <c r="M121">
        <f>IF(A121="","",IF(AND(F121&gt;=0.66,H121&gt;=0.66),"Yes","No"))</f>
        <v/>
      </c>
      <c r="N121">
        <f>IF(A121="","",IF(K121="Low Movement","Yes","No"))</f>
        <v/>
      </c>
      <c r="O121" s="2">
        <f>IF(L121="","",IF(L121="High Value Bundle",0.10,IF(L121="Medium Value Bundle",0.15,0.20)))</f>
        <v/>
      </c>
      <c r="P121">
        <f>IF(M121="Yes",C121&amp;"|anchor","")</f>
        <v/>
      </c>
      <c r="Q121">
        <f>IF(M121="Yes",B121,"")</f>
        <v/>
      </c>
    </row>
    <row r="122">
      <c r="A122">
        <f>Input_Data!A122</f>
        <v/>
      </c>
      <c r="B122">
        <f>Input_Data!B122</f>
        <v/>
      </c>
      <c r="C122">
        <f>Input_Data!C122</f>
        <v/>
      </c>
      <c r="D122">
        <f>IF(A122="","",SUM(Input_Data!D122:I122))</f>
        <v/>
      </c>
      <c r="E122">
        <f>IF(D122="","",D122/6)</f>
        <v/>
      </c>
      <c r="F122" s="2">
        <f>IF(D122="","",IF(COUNTA($D$2:$D$300)&lt;=1,0,PERCENTRANK.INC($D$2:$D$300,D122)))</f>
        <v/>
      </c>
      <c r="G122" s="2">
        <f>Input_Data!J122</f>
        <v/>
      </c>
      <c r="H122" s="2">
        <f>IF(G122="","",IF(COUNTA($G$2:$G$300)&lt;=1,0,PERCENTRANK.INC($G$2:$G$300,G122)))</f>
        <v/>
      </c>
      <c r="I122" s="2">
        <f>IF(F122="","",1-F122)</f>
        <v/>
      </c>
      <c r="J122" s="2">
        <f>IF(A122="","",0.6*I122+0.4*H122)</f>
        <v/>
      </c>
      <c r="K122">
        <f>IF(F122="","",IF(F122&lt;=0.33,"Low Movement",IF(F122&lt;=0.66,"Medium Movement","High Movement")))</f>
        <v/>
      </c>
      <c r="L122">
        <f>IF(J122="","",IF(J122&gt;=0.67,"High Value Bundle",IF(J122&gt;=0.34,"Medium Value Bundle","Low Value Bundle")))</f>
        <v/>
      </c>
      <c r="M122">
        <f>IF(A122="","",IF(AND(F122&gt;=0.66,H122&gt;=0.66),"Yes","No"))</f>
        <v/>
      </c>
      <c r="N122">
        <f>IF(A122="","",IF(K122="Low Movement","Yes","No"))</f>
        <v/>
      </c>
      <c r="O122" s="2">
        <f>IF(L122="","",IF(L122="High Value Bundle",0.10,IF(L122="Medium Value Bundle",0.15,0.20)))</f>
        <v/>
      </c>
      <c r="P122">
        <f>IF(M122="Yes",C122&amp;"|anchor","")</f>
        <v/>
      </c>
      <c r="Q122">
        <f>IF(M122="Yes",B122,"")</f>
        <v/>
      </c>
    </row>
    <row r="123">
      <c r="A123">
        <f>Input_Data!A123</f>
        <v/>
      </c>
      <c r="B123">
        <f>Input_Data!B123</f>
        <v/>
      </c>
      <c r="C123">
        <f>Input_Data!C123</f>
        <v/>
      </c>
      <c r="D123">
        <f>IF(A123="","",SUM(Input_Data!D123:I123))</f>
        <v/>
      </c>
      <c r="E123">
        <f>IF(D123="","",D123/6)</f>
        <v/>
      </c>
      <c r="F123" s="2">
        <f>IF(D123="","",IF(COUNTA($D$2:$D$300)&lt;=1,0,PERCENTRANK.INC($D$2:$D$300,D123)))</f>
        <v/>
      </c>
      <c r="G123" s="2">
        <f>Input_Data!J123</f>
        <v/>
      </c>
      <c r="H123" s="2">
        <f>IF(G123="","",IF(COUNTA($G$2:$G$300)&lt;=1,0,PERCENTRANK.INC($G$2:$G$300,G123)))</f>
        <v/>
      </c>
      <c r="I123" s="2">
        <f>IF(F123="","",1-F123)</f>
        <v/>
      </c>
      <c r="J123" s="2">
        <f>IF(A123="","",0.6*I123+0.4*H123)</f>
        <v/>
      </c>
      <c r="K123">
        <f>IF(F123="","",IF(F123&lt;=0.33,"Low Movement",IF(F123&lt;=0.66,"Medium Movement","High Movement")))</f>
        <v/>
      </c>
      <c r="L123">
        <f>IF(J123="","",IF(J123&gt;=0.67,"High Value Bundle",IF(J123&gt;=0.34,"Medium Value Bundle","Low Value Bundle")))</f>
        <v/>
      </c>
      <c r="M123">
        <f>IF(A123="","",IF(AND(F123&gt;=0.66,H123&gt;=0.66),"Yes","No"))</f>
        <v/>
      </c>
      <c r="N123">
        <f>IF(A123="","",IF(K123="Low Movement","Yes","No"))</f>
        <v/>
      </c>
      <c r="O123" s="2">
        <f>IF(L123="","",IF(L123="High Value Bundle",0.10,IF(L123="Medium Value Bundle",0.15,0.20)))</f>
        <v/>
      </c>
      <c r="P123">
        <f>IF(M123="Yes",C123&amp;"|anchor","")</f>
        <v/>
      </c>
      <c r="Q123">
        <f>IF(M123="Yes",B123,"")</f>
        <v/>
      </c>
    </row>
    <row r="124">
      <c r="A124">
        <f>Input_Data!A124</f>
        <v/>
      </c>
      <c r="B124">
        <f>Input_Data!B124</f>
        <v/>
      </c>
      <c r="C124">
        <f>Input_Data!C124</f>
        <v/>
      </c>
      <c r="D124">
        <f>IF(A124="","",SUM(Input_Data!D124:I124))</f>
        <v/>
      </c>
      <c r="E124">
        <f>IF(D124="","",D124/6)</f>
        <v/>
      </c>
      <c r="F124" s="2">
        <f>IF(D124="","",IF(COUNTA($D$2:$D$300)&lt;=1,0,PERCENTRANK.INC($D$2:$D$300,D124)))</f>
        <v/>
      </c>
      <c r="G124" s="2">
        <f>Input_Data!J124</f>
        <v/>
      </c>
      <c r="H124" s="2">
        <f>IF(G124="","",IF(COUNTA($G$2:$G$300)&lt;=1,0,PERCENTRANK.INC($G$2:$G$300,G124)))</f>
        <v/>
      </c>
      <c r="I124" s="2">
        <f>IF(F124="","",1-F124)</f>
        <v/>
      </c>
      <c r="J124" s="2">
        <f>IF(A124="","",0.6*I124+0.4*H124)</f>
        <v/>
      </c>
      <c r="K124">
        <f>IF(F124="","",IF(F124&lt;=0.33,"Low Movement",IF(F124&lt;=0.66,"Medium Movement","High Movement")))</f>
        <v/>
      </c>
      <c r="L124">
        <f>IF(J124="","",IF(J124&gt;=0.67,"High Value Bundle",IF(J124&gt;=0.34,"Medium Value Bundle","Low Value Bundle")))</f>
        <v/>
      </c>
      <c r="M124">
        <f>IF(A124="","",IF(AND(F124&gt;=0.66,H124&gt;=0.66),"Yes","No"))</f>
        <v/>
      </c>
      <c r="N124">
        <f>IF(A124="","",IF(K124="Low Movement","Yes","No"))</f>
        <v/>
      </c>
      <c r="O124" s="2">
        <f>IF(L124="","",IF(L124="High Value Bundle",0.10,IF(L124="Medium Value Bundle",0.15,0.20)))</f>
        <v/>
      </c>
      <c r="P124">
        <f>IF(M124="Yes",C124&amp;"|anchor","")</f>
        <v/>
      </c>
      <c r="Q124">
        <f>IF(M124="Yes",B124,"")</f>
        <v/>
      </c>
    </row>
    <row r="125">
      <c r="A125">
        <f>Input_Data!A125</f>
        <v/>
      </c>
      <c r="B125">
        <f>Input_Data!B125</f>
        <v/>
      </c>
      <c r="C125">
        <f>Input_Data!C125</f>
        <v/>
      </c>
      <c r="D125">
        <f>IF(A125="","",SUM(Input_Data!D125:I125))</f>
        <v/>
      </c>
      <c r="E125">
        <f>IF(D125="","",D125/6)</f>
        <v/>
      </c>
      <c r="F125" s="2">
        <f>IF(D125="","",IF(COUNTA($D$2:$D$300)&lt;=1,0,PERCENTRANK.INC($D$2:$D$300,D125)))</f>
        <v/>
      </c>
      <c r="G125" s="2">
        <f>Input_Data!J125</f>
        <v/>
      </c>
      <c r="H125" s="2">
        <f>IF(G125="","",IF(COUNTA($G$2:$G$300)&lt;=1,0,PERCENTRANK.INC($G$2:$G$300,G125)))</f>
        <v/>
      </c>
      <c r="I125" s="2">
        <f>IF(F125="","",1-F125)</f>
        <v/>
      </c>
      <c r="J125" s="2">
        <f>IF(A125="","",0.6*I125+0.4*H125)</f>
        <v/>
      </c>
      <c r="K125">
        <f>IF(F125="","",IF(F125&lt;=0.33,"Low Movement",IF(F125&lt;=0.66,"Medium Movement","High Movement")))</f>
        <v/>
      </c>
      <c r="L125">
        <f>IF(J125="","",IF(J125&gt;=0.67,"High Value Bundle",IF(J125&gt;=0.34,"Medium Value Bundle","Low Value Bundle")))</f>
        <v/>
      </c>
      <c r="M125">
        <f>IF(A125="","",IF(AND(F125&gt;=0.66,H125&gt;=0.66),"Yes","No"))</f>
        <v/>
      </c>
      <c r="N125">
        <f>IF(A125="","",IF(K125="Low Movement","Yes","No"))</f>
        <v/>
      </c>
      <c r="O125" s="2">
        <f>IF(L125="","",IF(L125="High Value Bundle",0.10,IF(L125="Medium Value Bundle",0.15,0.20)))</f>
        <v/>
      </c>
      <c r="P125">
        <f>IF(M125="Yes",C125&amp;"|anchor","")</f>
        <v/>
      </c>
      <c r="Q125">
        <f>IF(M125="Yes",B125,"")</f>
        <v/>
      </c>
    </row>
    <row r="126">
      <c r="A126">
        <f>Input_Data!A126</f>
        <v/>
      </c>
      <c r="B126">
        <f>Input_Data!B126</f>
        <v/>
      </c>
      <c r="C126">
        <f>Input_Data!C126</f>
        <v/>
      </c>
      <c r="D126">
        <f>IF(A126="","",SUM(Input_Data!D126:I126))</f>
        <v/>
      </c>
      <c r="E126">
        <f>IF(D126="","",D126/6)</f>
        <v/>
      </c>
      <c r="F126" s="2">
        <f>IF(D126="","",IF(COUNTA($D$2:$D$300)&lt;=1,0,PERCENTRANK.INC($D$2:$D$300,D126)))</f>
        <v/>
      </c>
      <c r="G126" s="2">
        <f>Input_Data!J126</f>
        <v/>
      </c>
      <c r="H126" s="2">
        <f>IF(G126="","",IF(COUNTA($G$2:$G$300)&lt;=1,0,PERCENTRANK.INC($G$2:$G$300,G126)))</f>
        <v/>
      </c>
      <c r="I126" s="2">
        <f>IF(F126="","",1-F126)</f>
        <v/>
      </c>
      <c r="J126" s="2">
        <f>IF(A126="","",0.6*I126+0.4*H126)</f>
        <v/>
      </c>
      <c r="K126">
        <f>IF(F126="","",IF(F126&lt;=0.33,"Low Movement",IF(F126&lt;=0.66,"Medium Movement","High Movement")))</f>
        <v/>
      </c>
      <c r="L126">
        <f>IF(J126="","",IF(J126&gt;=0.67,"High Value Bundle",IF(J126&gt;=0.34,"Medium Value Bundle","Low Value Bundle")))</f>
        <v/>
      </c>
      <c r="M126">
        <f>IF(A126="","",IF(AND(F126&gt;=0.66,H126&gt;=0.66),"Yes","No"))</f>
        <v/>
      </c>
      <c r="N126">
        <f>IF(A126="","",IF(K126="Low Movement","Yes","No"))</f>
        <v/>
      </c>
      <c r="O126" s="2">
        <f>IF(L126="","",IF(L126="High Value Bundle",0.10,IF(L126="Medium Value Bundle",0.15,0.20)))</f>
        <v/>
      </c>
      <c r="P126">
        <f>IF(M126="Yes",C126&amp;"|anchor","")</f>
        <v/>
      </c>
      <c r="Q126">
        <f>IF(M126="Yes",B126,"")</f>
        <v/>
      </c>
    </row>
    <row r="127">
      <c r="A127">
        <f>Input_Data!A127</f>
        <v/>
      </c>
      <c r="B127">
        <f>Input_Data!B127</f>
        <v/>
      </c>
      <c r="C127">
        <f>Input_Data!C127</f>
        <v/>
      </c>
      <c r="D127">
        <f>IF(A127="","",SUM(Input_Data!D127:I127))</f>
        <v/>
      </c>
      <c r="E127">
        <f>IF(D127="","",D127/6)</f>
        <v/>
      </c>
      <c r="F127" s="2">
        <f>IF(D127="","",IF(COUNTA($D$2:$D$300)&lt;=1,0,PERCENTRANK.INC($D$2:$D$300,D127)))</f>
        <v/>
      </c>
      <c r="G127" s="2">
        <f>Input_Data!J127</f>
        <v/>
      </c>
      <c r="H127" s="2">
        <f>IF(G127="","",IF(COUNTA($G$2:$G$300)&lt;=1,0,PERCENTRANK.INC($G$2:$G$300,G127)))</f>
        <v/>
      </c>
      <c r="I127" s="2">
        <f>IF(F127="","",1-F127)</f>
        <v/>
      </c>
      <c r="J127" s="2">
        <f>IF(A127="","",0.6*I127+0.4*H127)</f>
        <v/>
      </c>
      <c r="K127">
        <f>IF(F127="","",IF(F127&lt;=0.33,"Low Movement",IF(F127&lt;=0.66,"Medium Movement","High Movement")))</f>
        <v/>
      </c>
      <c r="L127">
        <f>IF(J127="","",IF(J127&gt;=0.67,"High Value Bundle",IF(J127&gt;=0.34,"Medium Value Bundle","Low Value Bundle")))</f>
        <v/>
      </c>
      <c r="M127">
        <f>IF(A127="","",IF(AND(F127&gt;=0.66,H127&gt;=0.66),"Yes","No"))</f>
        <v/>
      </c>
      <c r="N127">
        <f>IF(A127="","",IF(K127="Low Movement","Yes","No"))</f>
        <v/>
      </c>
      <c r="O127" s="2">
        <f>IF(L127="","",IF(L127="High Value Bundle",0.10,IF(L127="Medium Value Bundle",0.15,0.20)))</f>
        <v/>
      </c>
      <c r="P127">
        <f>IF(M127="Yes",C127&amp;"|anchor","")</f>
        <v/>
      </c>
      <c r="Q127">
        <f>IF(M127="Yes",B127,"")</f>
        <v/>
      </c>
    </row>
    <row r="128">
      <c r="A128">
        <f>Input_Data!A128</f>
        <v/>
      </c>
      <c r="B128">
        <f>Input_Data!B128</f>
        <v/>
      </c>
      <c r="C128">
        <f>Input_Data!C128</f>
        <v/>
      </c>
      <c r="D128">
        <f>IF(A128="","",SUM(Input_Data!D128:I128))</f>
        <v/>
      </c>
      <c r="E128">
        <f>IF(D128="","",D128/6)</f>
        <v/>
      </c>
      <c r="F128" s="2">
        <f>IF(D128="","",IF(COUNTA($D$2:$D$300)&lt;=1,0,PERCENTRANK.INC($D$2:$D$300,D128)))</f>
        <v/>
      </c>
      <c r="G128" s="2">
        <f>Input_Data!J128</f>
        <v/>
      </c>
      <c r="H128" s="2">
        <f>IF(G128="","",IF(COUNTA($G$2:$G$300)&lt;=1,0,PERCENTRANK.INC($G$2:$G$300,G128)))</f>
        <v/>
      </c>
      <c r="I128" s="2">
        <f>IF(F128="","",1-F128)</f>
        <v/>
      </c>
      <c r="J128" s="2">
        <f>IF(A128="","",0.6*I128+0.4*H128)</f>
        <v/>
      </c>
      <c r="K128">
        <f>IF(F128="","",IF(F128&lt;=0.33,"Low Movement",IF(F128&lt;=0.66,"Medium Movement","High Movement")))</f>
        <v/>
      </c>
      <c r="L128">
        <f>IF(J128="","",IF(J128&gt;=0.67,"High Value Bundle",IF(J128&gt;=0.34,"Medium Value Bundle","Low Value Bundle")))</f>
        <v/>
      </c>
      <c r="M128">
        <f>IF(A128="","",IF(AND(F128&gt;=0.66,H128&gt;=0.66),"Yes","No"))</f>
        <v/>
      </c>
      <c r="N128">
        <f>IF(A128="","",IF(K128="Low Movement","Yes","No"))</f>
        <v/>
      </c>
      <c r="O128" s="2">
        <f>IF(L128="","",IF(L128="High Value Bundle",0.10,IF(L128="Medium Value Bundle",0.15,0.20)))</f>
        <v/>
      </c>
      <c r="P128">
        <f>IF(M128="Yes",C128&amp;"|anchor","")</f>
        <v/>
      </c>
      <c r="Q128">
        <f>IF(M128="Yes",B128,"")</f>
        <v/>
      </c>
    </row>
    <row r="129">
      <c r="A129">
        <f>Input_Data!A129</f>
        <v/>
      </c>
      <c r="B129">
        <f>Input_Data!B129</f>
        <v/>
      </c>
      <c r="C129">
        <f>Input_Data!C129</f>
        <v/>
      </c>
      <c r="D129">
        <f>IF(A129="","",SUM(Input_Data!D129:I129))</f>
        <v/>
      </c>
      <c r="E129">
        <f>IF(D129="","",D129/6)</f>
        <v/>
      </c>
      <c r="F129" s="2">
        <f>IF(D129="","",IF(COUNTA($D$2:$D$300)&lt;=1,0,PERCENTRANK.INC($D$2:$D$300,D129)))</f>
        <v/>
      </c>
      <c r="G129" s="2">
        <f>Input_Data!J129</f>
        <v/>
      </c>
      <c r="H129" s="2">
        <f>IF(G129="","",IF(COUNTA($G$2:$G$300)&lt;=1,0,PERCENTRANK.INC($G$2:$G$300,G129)))</f>
        <v/>
      </c>
      <c r="I129" s="2">
        <f>IF(F129="","",1-F129)</f>
        <v/>
      </c>
      <c r="J129" s="2">
        <f>IF(A129="","",0.6*I129+0.4*H129)</f>
        <v/>
      </c>
      <c r="K129">
        <f>IF(F129="","",IF(F129&lt;=0.33,"Low Movement",IF(F129&lt;=0.66,"Medium Movement","High Movement")))</f>
        <v/>
      </c>
      <c r="L129">
        <f>IF(J129="","",IF(J129&gt;=0.67,"High Value Bundle",IF(J129&gt;=0.34,"Medium Value Bundle","Low Value Bundle")))</f>
        <v/>
      </c>
      <c r="M129">
        <f>IF(A129="","",IF(AND(F129&gt;=0.66,H129&gt;=0.66),"Yes","No"))</f>
        <v/>
      </c>
      <c r="N129">
        <f>IF(A129="","",IF(K129="Low Movement","Yes","No"))</f>
        <v/>
      </c>
      <c r="O129" s="2">
        <f>IF(L129="","",IF(L129="High Value Bundle",0.10,IF(L129="Medium Value Bundle",0.15,0.20)))</f>
        <v/>
      </c>
      <c r="P129">
        <f>IF(M129="Yes",C129&amp;"|anchor","")</f>
        <v/>
      </c>
      <c r="Q129">
        <f>IF(M129="Yes",B129,"")</f>
        <v/>
      </c>
    </row>
    <row r="130">
      <c r="A130">
        <f>Input_Data!A130</f>
        <v/>
      </c>
      <c r="B130">
        <f>Input_Data!B130</f>
        <v/>
      </c>
      <c r="C130">
        <f>Input_Data!C130</f>
        <v/>
      </c>
      <c r="D130">
        <f>IF(A130="","",SUM(Input_Data!D130:I130))</f>
        <v/>
      </c>
      <c r="E130">
        <f>IF(D130="","",D130/6)</f>
        <v/>
      </c>
      <c r="F130" s="2">
        <f>IF(D130="","",IF(COUNTA($D$2:$D$300)&lt;=1,0,PERCENTRANK.INC($D$2:$D$300,D130)))</f>
        <v/>
      </c>
      <c r="G130" s="2">
        <f>Input_Data!J130</f>
        <v/>
      </c>
      <c r="H130" s="2">
        <f>IF(G130="","",IF(COUNTA($G$2:$G$300)&lt;=1,0,PERCENTRANK.INC($G$2:$G$300,G130)))</f>
        <v/>
      </c>
      <c r="I130" s="2">
        <f>IF(F130="","",1-F130)</f>
        <v/>
      </c>
      <c r="J130" s="2">
        <f>IF(A130="","",0.6*I130+0.4*H130)</f>
        <v/>
      </c>
      <c r="K130">
        <f>IF(F130="","",IF(F130&lt;=0.33,"Low Movement",IF(F130&lt;=0.66,"Medium Movement","High Movement")))</f>
        <v/>
      </c>
      <c r="L130">
        <f>IF(J130="","",IF(J130&gt;=0.67,"High Value Bundle",IF(J130&gt;=0.34,"Medium Value Bundle","Low Value Bundle")))</f>
        <v/>
      </c>
      <c r="M130">
        <f>IF(A130="","",IF(AND(F130&gt;=0.66,H130&gt;=0.66),"Yes","No"))</f>
        <v/>
      </c>
      <c r="N130">
        <f>IF(A130="","",IF(K130="Low Movement","Yes","No"))</f>
        <v/>
      </c>
      <c r="O130" s="2">
        <f>IF(L130="","",IF(L130="High Value Bundle",0.10,IF(L130="Medium Value Bundle",0.15,0.20)))</f>
        <v/>
      </c>
      <c r="P130">
        <f>IF(M130="Yes",C130&amp;"|anchor","")</f>
        <v/>
      </c>
      <c r="Q130">
        <f>IF(M130="Yes",B130,"")</f>
        <v/>
      </c>
    </row>
    <row r="131">
      <c r="A131">
        <f>Input_Data!A131</f>
        <v/>
      </c>
      <c r="B131">
        <f>Input_Data!B131</f>
        <v/>
      </c>
      <c r="C131">
        <f>Input_Data!C131</f>
        <v/>
      </c>
      <c r="D131">
        <f>IF(A131="","",SUM(Input_Data!D131:I131))</f>
        <v/>
      </c>
      <c r="E131">
        <f>IF(D131="","",D131/6)</f>
        <v/>
      </c>
      <c r="F131" s="2">
        <f>IF(D131="","",IF(COUNTA($D$2:$D$300)&lt;=1,0,PERCENTRANK.INC($D$2:$D$300,D131)))</f>
        <v/>
      </c>
      <c r="G131" s="2">
        <f>Input_Data!J131</f>
        <v/>
      </c>
      <c r="H131" s="2">
        <f>IF(G131="","",IF(COUNTA($G$2:$G$300)&lt;=1,0,PERCENTRANK.INC($G$2:$G$300,G131)))</f>
        <v/>
      </c>
      <c r="I131" s="2">
        <f>IF(F131="","",1-F131)</f>
        <v/>
      </c>
      <c r="J131" s="2">
        <f>IF(A131="","",0.6*I131+0.4*H131)</f>
        <v/>
      </c>
      <c r="K131">
        <f>IF(F131="","",IF(F131&lt;=0.33,"Low Movement",IF(F131&lt;=0.66,"Medium Movement","High Movement")))</f>
        <v/>
      </c>
      <c r="L131">
        <f>IF(J131="","",IF(J131&gt;=0.67,"High Value Bundle",IF(J131&gt;=0.34,"Medium Value Bundle","Low Value Bundle")))</f>
        <v/>
      </c>
      <c r="M131">
        <f>IF(A131="","",IF(AND(F131&gt;=0.66,H131&gt;=0.66),"Yes","No"))</f>
        <v/>
      </c>
      <c r="N131">
        <f>IF(A131="","",IF(K131="Low Movement","Yes","No"))</f>
        <v/>
      </c>
      <c r="O131" s="2">
        <f>IF(L131="","",IF(L131="High Value Bundle",0.10,IF(L131="Medium Value Bundle",0.15,0.20)))</f>
        <v/>
      </c>
      <c r="P131">
        <f>IF(M131="Yes",C131&amp;"|anchor","")</f>
        <v/>
      </c>
      <c r="Q131">
        <f>IF(M131="Yes",B131,"")</f>
        <v/>
      </c>
    </row>
    <row r="132">
      <c r="A132">
        <f>Input_Data!A132</f>
        <v/>
      </c>
      <c r="B132">
        <f>Input_Data!B132</f>
        <v/>
      </c>
      <c r="C132">
        <f>Input_Data!C132</f>
        <v/>
      </c>
      <c r="D132">
        <f>IF(A132="","",SUM(Input_Data!D132:I132))</f>
        <v/>
      </c>
      <c r="E132">
        <f>IF(D132="","",D132/6)</f>
        <v/>
      </c>
      <c r="F132" s="2">
        <f>IF(D132="","",IF(COUNTA($D$2:$D$300)&lt;=1,0,PERCENTRANK.INC($D$2:$D$300,D132)))</f>
        <v/>
      </c>
      <c r="G132" s="2">
        <f>Input_Data!J132</f>
        <v/>
      </c>
      <c r="H132" s="2">
        <f>IF(G132="","",IF(COUNTA($G$2:$G$300)&lt;=1,0,PERCENTRANK.INC($G$2:$G$300,G132)))</f>
        <v/>
      </c>
      <c r="I132" s="2">
        <f>IF(F132="","",1-F132)</f>
        <v/>
      </c>
      <c r="J132" s="2">
        <f>IF(A132="","",0.6*I132+0.4*H132)</f>
        <v/>
      </c>
      <c r="K132">
        <f>IF(F132="","",IF(F132&lt;=0.33,"Low Movement",IF(F132&lt;=0.66,"Medium Movement","High Movement")))</f>
        <v/>
      </c>
      <c r="L132">
        <f>IF(J132="","",IF(J132&gt;=0.67,"High Value Bundle",IF(J132&gt;=0.34,"Medium Value Bundle","Low Value Bundle")))</f>
        <v/>
      </c>
      <c r="M132">
        <f>IF(A132="","",IF(AND(F132&gt;=0.66,H132&gt;=0.66),"Yes","No"))</f>
        <v/>
      </c>
      <c r="N132">
        <f>IF(A132="","",IF(K132="Low Movement","Yes","No"))</f>
        <v/>
      </c>
      <c r="O132" s="2">
        <f>IF(L132="","",IF(L132="High Value Bundle",0.10,IF(L132="Medium Value Bundle",0.15,0.20)))</f>
        <v/>
      </c>
      <c r="P132">
        <f>IF(M132="Yes",C132&amp;"|anchor","")</f>
        <v/>
      </c>
      <c r="Q132">
        <f>IF(M132="Yes",B132,"")</f>
        <v/>
      </c>
    </row>
    <row r="133">
      <c r="A133">
        <f>Input_Data!A133</f>
        <v/>
      </c>
      <c r="B133">
        <f>Input_Data!B133</f>
        <v/>
      </c>
      <c r="C133">
        <f>Input_Data!C133</f>
        <v/>
      </c>
      <c r="D133">
        <f>IF(A133="","",SUM(Input_Data!D133:I133))</f>
        <v/>
      </c>
      <c r="E133">
        <f>IF(D133="","",D133/6)</f>
        <v/>
      </c>
      <c r="F133" s="2">
        <f>IF(D133="","",IF(COUNTA($D$2:$D$300)&lt;=1,0,PERCENTRANK.INC($D$2:$D$300,D133)))</f>
        <v/>
      </c>
      <c r="G133" s="2">
        <f>Input_Data!J133</f>
        <v/>
      </c>
      <c r="H133" s="2">
        <f>IF(G133="","",IF(COUNTA($G$2:$G$300)&lt;=1,0,PERCENTRANK.INC($G$2:$G$300,G133)))</f>
        <v/>
      </c>
      <c r="I133" s="2">
        <f>IF(F133="","",1-F133)</f>
        <v/>
      </c>
      <c r="J133" s="2">
        <f>IF(A133="","",0.6*I133+0.4*H133)</f>
        <v/>
      </c>
      <c r="K133">
        <f>IF(F133="","",IF(F133&lt;=0.33,"Low Movement",IF(F133&lt;=0.66,"Medium Movement","High Movement")))</f>
        <v/>
      </c>
      <c r="L133">
        <f>IF(J133="","",IF(J133&gt;=0.67,"High Value Bundle",IF(J133&gt;=0.34,"Medium Value Bundle","Low Value Bundle")))</f>
        <v/>
      </c>
      <c r="M133">
        <f>IF(A133="","",IF(AND(F133&gt;=0.66,H133&gt;=0.66),"Yes","No"))</f>
        <v/>
      </c>
      <c r="N133">
        <f>IF(A133="","",IF(K133="Low Movement","Yes","No"))</f>
        <v/>
      </c>
      <c r="O133" s="2">
        <f>IF(L133="","",IF(L133="High Value Bundle",0.10,IF(L133="Medium Value Bundle",0.15,0.20)))</f>
        <v/>
      </c>
      <c r="P133">
        <f>IF(M133="Yes",C133&amp;"|anchor","")</f>
        <v/>
      </c>
      <c r="Q133">
        <f>IF(M133="Yes",B133,"")</f>
        <v/>
      </c>
    </row>
    <row r="134">
      <c r="A134">
        <f>Input_Data!A134</f>
        <v/>
      </c>
      <c r="B134">
        <f>Input_Data!B134</f>
        <v/>
      </c>
      <c r="C134">
        <f>Input_Data!C134</f>
        <v/>
      </c>
      <c r="D134">
        <f>IF(A134="","",SUM(Input_Data!D134:I134))</f>
        <v/>
      </c>
      <c r="E134">
        <f>IF(D134="","",D134/6)</f>
        <v/>
      </c>
      <c r="F134" s="2">
        <f>IF(D134="","",IF(COUNTA($D$2:$D$300)&lt;=1,0,PERCENTRANK.INC($D$2:$D$300,D134)))</f>
        <v/>
      </c>
      <c r="G134" s="2">
        <f>Input_Data!J134</f>
        <v/>
      </c>
      <c r="H134" s="2">
        <f>IF(G134="","",IF(COUNTA($G$2:$G$300)&lt;=1,0,PERCENTRANK.INC($G$2:$G$300,G134)))</f>
        <v/>
      </c>
      <c r="I134" s="2">
        <f>IF(F134="","",1-F134)</f>
        <v/>
      </c>
      <c r="J134" s="2">
        <f>IF(A134="","",0.6*I134+0.4*H134)</f>
        <v/>
      </c>
      <c r="K134">
        <f>IF(F134="","",IF(F134&lt;=0.33,"Low Movement",IF(F134&lt;=0.66,"Medium Movement","High Movement")))</f>
        <v/>
      </c>
      <c r="L134">
        <f>IF(J134="","",IF(J134&gt;=0.67,"High Value Bundle",IF(J134&gt;=0.34,"Medium Value Bundle","Low Value Bundle")))</f>
        <v/>
      </c>
      <c r="M134">
        <f>IF(A134="","",IF(AND(F134&gt;=0.66,H134&gt;=0.66),"Yes","No"))</f>
        <v/>
      </c>
      <c r="N134">
        <f>IF(A134="","",IF(K134="Low Movement","Yes","No"))</f>
        <v/>
      </c>
      <c r="O134" s="2">
        <f>IF(L134="","",IF(L134="High Value Bundle",0.10,IF(L134="Medium Value Bundle",0.15,0.20)))</f>
        <v/>
      </c>
      <c r="P134">
        <f>IF(M134="Yes",C134&amp;"|anchor","")</f>
        <v/>
      </c>
      <c r="Q134">
        <f>IF(M134="Yes",B134,"")</f>
        <v/>
      </c>
    </row>
    <row r="135">
      <c r="A135">
        <f>Input_Data!A135</f>
        <v/>
      </c>
      <c r="B135">
        <f>Input_Data!B135</f>
        <v/>
      </c>
      <c r="C135">
        <f>Input_Data!C135</f>
        <v/>
      </c>
      <c r="D135">
        <f>IF(A135="","",SUM(Input_Data!D135:I135))</f>
        <v/>
      </c>
      <c r="E135">
        <f>IF(D135="","",D135/6)</f>
        <v/>
      </c>
      <c r="F135" s="2">
        <f>IF(D135="","",IF(COUNTA($D$2:$D$300)&lt;=1,0,PERCENTRANK.INC($D$2:$D$300,D135)))</f>
        <v/>
      </c>
      <c r="G135" s="2">
        <f>Input_Data!J135</f>
        <v/>
      </c>
      <c r="H135" s="2">
        <f>IF(G135="","",IF(COUNTA($G$2:$G$300)&lt;=1,0,PERCENTRANK.INC($G$2:$G$300,G135)))</f>
        <v/>
      </c>
      <c r="I135" s="2">
        <f>IF(F135="","",1-F135)</f>
        <v/>
      </c>
      <c r="J135" s="2">
        <f>IF(A135="","",0.6*I135+0.4*H135)</f>
        <v/>
      </c>
      <c r="K135">
        <f>IF(F135="","",IF(F135&lt;=0.33,"Low Movement",IF(F135&lt;=0.66,"Medium Movement","High Movement")))</f>
        <v/>
      </c>
      <c r="L135">
        <f>IF(J135="","",IF(J135&gt;=0.67,"High Value Bundle",IF(J135&gt;=0.34,"Medium Value Bundle","Low Value Bundle")))</f>
        <v/>
      </c>
      <c r="M135">
        <f>IF(A135="","",IF(AND(F135&gt;=0.66,H135&gt;=0.66),"Yes","No"))</f>
        <v/>
      </c>
      <c r="N135">
        <f>IF(A135="","",IF(K135="Low Movement","Yes","No"))</f>
        <v/>
      </c>
      <c r="O135" s="2">
        <f>IF(L135="","",IF(L135="High Value Bundle",0.10,IF(L135="Medium Value Bundle",0.15,0.20)))</f>
        <v/>
      </c>
      <c r="P135">
        <f>IF(M135="Yes",C135&amp;"|anchor","")</f>
        <v/>
      </c>
      <c r="Q135">
        <f>IF(M135="Yes",B135,"")</f>
        <v/>
      </c>
    </row>
    <row r="136">
      <c r="A136">
        <f>Input_Data!A136</f>
        <v/>
      </c>
      <c r="B136">
        <f>Input_Data!B136</f>
        <v/>
      </c>
      <c r="C136">
        <f>Input_Data!C136</f>
        <v/>
      </c>
      <c r="D136">
        <f>IF(A136="","",SUM(Input_Data!D136:I136))</f>
        <v/>
      </c>
      <c r="E136">
        <f>IF(D136="","",D136/6)</f>
        <v/>
      </c>
      <c r="F136" s="2">
        <f>IF(D136="","",IF(COUNTA($D$2:$D$300)&lt;=1,0,PERCENTRANK.INC($D$2:$D$300,D136)))</f>
        <v/>
      </c>
      <c r="G136" s="2">
        <f>Input_Data!J136</f>
        <v/>
      </c>
      <c r="H136" s="2">
        <f>IF(G136="","",IF(COUNTA($G$2:$G$300)&lt;=1,0,PERCENTRANK.INC($G$2:$G$300,G136)))</f>
        <v/>
      </c>
      <c r="I136" s="2">
        <f>IF(F136="","",1-F136)</f>
        <v/>
      </c>
      <c r="J136" s="2">
        <f>IF(A136="","",0.6*I136+0.4*H136)</f>
        <v/>
      </c>
      <c r="K136">
        <f>IF(F136="","",IF(F136&lt;=0.33,"Low Movement",IF(F136&lt;=0.66,"Medium Movement","High Movement")))</f>
        <v/>
      </c>
      <c r="L136">
        <f>IF(J136="","",IF(J136&gt;=0.67,"High Value Bundle",IF(J136&gt;=0.34,"Medium Value Bundle","Low Value Bundle")))</f>
        <v/>
      </c>
      <c r="M136">
        <f>IF(A136="","",IF(AND(F136&gt;=0.66,H136&gt;=0.66),"Yes","No"))</f>
        <v/>
      </c>
      <c r="N136">
        <f>IF(A136="","",IF(K136="Low Movement","Yes","No"))</f>
        <v/>
      </c>
      <c r="O136" s="2">
        <f>IF(L136="","",IF(L136="High Value Bundle",0.10,IF(L136="Medium Value Bundle",0.15,0.20)))</f>
        <v/>
      </c>
      <c r="P136">
        <f>IF(M136="Yes",C136&amp;"|anchor","")</f>
        <v/>
      </c>
      <c r="Q136">
        <f>IF(M136="Yes",B136,"")</f>
        <v/>
      </c>
    </row>
    <row r="137">
      <c r="A137">
        <f>Input_Data!A137</f>
        <v/>
      </c>
      <c r="B137">
        <f>Input_Data!B137</f>
        <v/>
      </c>
      <c r="C137">
        <f>Input_Data!C137</f>
        <v/>
      </c>
      <c r="D137">
        <f>IF(A137="","",SUM(Input_Data!D137:I137))</f>
        <v/>
      </c>
      <c r="E137">
        <f>IF(D137="","",D137/6)</f>
        <v/>
      </c>
      <c r="F137" s="2">
        <f>IF(D137="","",IF(COUNTA($D$2:$D$300)&lt;=1,0,PERCENTRANK.INC($D$2:$D$300,D137)))</f>
        <v/>
      </c>
      <c r="G137" s="2">
        <f>Input_Data!J137</f>
        <v/>
      </c>
      <c r="H137" s="2">
        <f>IF(G137="","",IF(COUNTA($G$2:$G$300)&lt;=1,0,PERCENTRANK.INC($G$2:$G$300,G137)))</f>
        <v/>
      </c>
      <c r="I137" s="2">
        <f>IF(F137="","",1-F137)</f>
        <v/>
      </c>
      <c r="J137" s="2">
        <f>IF(A137="","",0.6*I137+0.4*H137)</f>
        <v/>
      </c>
      <c r="K137">
        <f>IF(F137="","",IF(F137&lt;=0.33,"Low Movement",IF(F137&lt;=0.66,"Medium Movement","High Movement")))</f>
        <v/>
      </c>
      <c r="L137">
        <f>IF(J137="","",IF(J137&gt;=0.67,"High Value Bundle",IF(J137&gt;=0.34,"Medium Value Bundle","Low Value Bundle")))</f>
        <v/>
      </c>
      <c r="M137">
        <f>IF(A137="","",IF(AND(F137&gt;=0.66,H137&gt;=0.66),"Yes","No"))</f>
        <v/>
      </c>
      <c r="N137">
        <f>IF(A137="","",IF(K137="Low Movement","Yes","No"))</f>
        <v/>
      </c>
      <c r="O137" s="2">
        <f>IF(L137="","",IF(L137="High Value Bundle",0.10,IF(L137="Medium Value Bundle",0.15,0.20)))</f>
        <v/>
      </c>
      <c r="P137">
        <f>IF(M137="Yes",C137&amp;"|anchor","")</f>
        <v/>
      </c>
      <c r="Q137">
        <f>IF(M137="Yes",B137,"")</f>
        <v/>
      </c>
    </row>
    <row r="138">
      <c r="A138">
        <f>Input_Data!A138</f>
        <v/>
      </c>
      <c r="B138">
        <f>Input_Data!B138</f>
        <v/>
      </c>
      <c r="C138">
        <f>Input_Data!C138</f>
        <v/>
      </c>
      <c r="D138">
        <f>IF(A138="","",SUM(Input_Data!D138:I138))</f>
        <v/>
      </c>
      <c r="E138">
        <f>IF(D138="","",D138/6)</f>
        <v/>
      </c>
      <c r="F138" s="2">
        <f>IF(D138="","",IF(COUNTA($D$2:$D$300)&lt;=1,0,PERCENTRANK.INC($D$2:$D$300,D138)))</f>
        <v/>
      </c>
      <c r="G138" s="2">
        <f>Input_Data!J138</f>
        <v/>
      </c>
      <c r="H138" s="2">
        <f>IF(G138="","",IF(COUNTA($G$2:$G$300)&lt;=1,0,PERCENTRANK.INC($G$2:$G$300,G138)))</f>
        <v/>
      </c>
      <c r="I138" s="2">
        <f>IF(F138="","",1-F138)</f>
        <v/>
      </c>
      <c r="J138" s="2">
        <f>IF(A138="","",0.6*I138+0.4*H138)</f>
        <v/>
      </c>
      <c r="K138">
        <f>IF(F138="","",IF(F138&lt;=0.33,"Low Movement",IF(F138&lt;=0.66,"Medium Movement","High Movement")))</f>
        <v/>
      </c>
      <c r="L138">
        <f>IF(J138="","",IF(J138&gt;=0.67,"High Value Bundle",IF(J138&gt;=0.34,"Medium Value Bundle","Low Value Bundle")))</f>
        <v/>
      </c>
      <c r="M138">
        <f>IF(A138="","",IF(AND(F138&gt;=0.66,H138&gt;=0.66),"Yes","No"))</f>
        <v/>
      </c>
      <c r="N138">
        <f>IF(A138="","",IF(K138="Low Movement","Yes","No"))</f>
        <v/>
      </c>
      <c r="O138" s="2">
        <f>IF(L138="","",IF(L138="High Value Bundle",0.10,IF(L138="Medium Value Bundle",0.15,0.20)))</f>
        <v/>
      </c>
      <c r="P138">
        <f>IF(M138="Yes",C138&amp;"|anchor","")</f>
        <v/>
      </c>
      <c r="Q138">
        <f>IF(M138="Yes",B138,"")</f>
        <v/>
      </c>
    </row>
    <row r="139">
      <c r="A139">
        <f>Input_Data!A139</f>
        <v/>
      </c>
      <c r="B139">
        <f>Input_Data!B139</f>
        <v/>
      </c>
      <c r="C139">
        <f>Input_Data!C139</f>
        <v/>
      </c>
      <c r="D139">
        <f>IF(A139="","",SUM(Input_Data!D139:I139))</f>
        <v/>
      </c>
      <c r="E139">
        <f>IF(D139="","",D139/6)</f>
        <v/>
      </c>
      <c r="F139" s="2">
        <f>IF(D139="","",IF(COUNTA($D$2:$D$300)&lt;=1,0,PERCENTRANK.INC($D$2:$D$300,D139)))</f>
        <v/>
      </c>
      <c r="G139" s="2">
        <f>Input_Data!J139</f>
        <v/>
      </c>
      <c r="H139" s="2">
        <f>IF(G139="","",IF(COUNTA($G$2:$G$300)&lt;=1,0,PERCENTRANK.INC($G$2:$G$300,G139)))</f>
        <v/>
      </c>
      <c r="I139" s="2">
        <f>IF(F139="","",1-F139)</f>
        <v/>
      </c>
      <c r="J139" s="2">
        <f>IF(A139="","",0.6*I139+0.4*H139)</f>
        <v/>
      </c>
      <c r="K139">
        <f>IF(F139="","",IF(F139&lt;=0.33,"Low Movement",IF(F139&lt;=0.66,"Medium Movement","High Movement")))</f>
        <v/>
      </c>
      <c r="L139">
        <f>IF(J139="","",IF(J139&gt;=0.67,"High Value Bundle",IF(J139&gt;=0.34,"Medium Value Bundle","Low Value Bundle")))</f>
        <v/>
      </c>
      <c r="M139">
        <f>IF(A139="","",IF(AND(F139&gt;=0.66,H139&gt;=0.66),"Yes","No"))</f>
        <v/>
      </c>
      <c r="N139">
        <f>IF(A139="","",IF(K139="Low Movement","Yes","No"))</f>
        <v/>
      </c>
      <c r="O139" s="2">
        <f>IF(L139="","",IF(L139="High Value Bundle",0.10,IF(L139="Medium Value Bundle",0.15,0.20)))</f>
        <v/>
      </c>
      <c r="P139">
        <f>IF(M139="Yes",C139&amp;"|anchor","")</f>
        <v/>
      </c>
      <c r="Q139">
        <f>IF(M139="Yes",B139,"")</f>
        <v/>
      </c>
    </row>
    <row r="140">
      <c r="A140">
        <f>Input_Data!A140</f>
        <v/>
      </c>
      <c r="B140">
        <f>Input_Data!B140</f>
        <v/>
      </c>
      <c r="C140">
        <f>Input_Data!C140</f>
        <v/>
      </c>
      <c r="D140">
        <f>IF(A140="","",SUM(Input_Data!D140:I140))</f>
        <v/>
      </c>
      <c r="E140">
        <f>IF(D140="","",D140/6)</f>
        <v/>
      </c>
      <c r="F140" s="2">
        <f>IF(D140="","",IF(COUNTA($D$2:$D$300)&lt;=1,0,PERCENTRANK.INC($D$2:$D$300,D140)))</f>
        <v/>
      </c>
      <c r="G140" s="2">
        <f>Input_Data!J140</f>
        <v/>
      </c>
      <c r="H140" s="2">
        <f>IF(G140="","",IF(COUNTA($G$2:$G$300)&lt;=1,0,PERCENTRANK.INC($G$2:$G$300,G140)))</f>
        <v/>
      </c>
      <c r="I140" s="2">
        <f>IF(F140="","",1-F140)</f>
        <v/>
      </c>
      <c r="J140" s="2">
        <f>IF(A140="","",0.6*I140+0.4*H140)</f>
        <v/>
      </c>
      <c r="K140">
        <f>IF(F140="","",IF(F140&lt;=0.33,"Low Movement",IF(F140&lt;=0.66,"Medium Movement","High Movement")))</f>
        <v/>
      </c>
      <c r="L140">
        <f>IF(J140="","",IF(J140&gt;=0.67,"High Value Bundle",IF(J140&gt;=0.34,"Medium Value Bundle","Low Value Bundle")))</f>
        <v/>
      </c>
      <c r="M140">
        <f>IF(A140="","",IF(AND(F140&gt;=0.66,H140&gt;=0.66),"Yes","No"))</f>
        <v/>
      </c>
      <c r="N140">
        <f>IF(A140="","",IF(K140="Low Movement","Yes","No"))</f>
        <v/>
      </c>
      <c r="O140" s="2">
        <f>IF(L140="","",IF(L140="High Value Bundle",0.10,IF(L140="Medium Value Bundle",0.15,0.20)))</f>
        <v/>
      </c>
      <c r="P140">
        <f>IF(M140="Yes",C140&amp;"|anchor","")</f>
        <v/>
      </c>
      <c r="Q140">
        <f>IF(M140="Yes",B140,"")</f>
        <v/>
      </c>
    </row>
    <row r="141">
      <c r="A141">
        <f>Input_Data!A141</f>
        <v/>
      </c>
      <c r="B141">
        <f>Input_Data!B141</f>
        <v/>
      </c>
      <c r="C141">
        <f>Input_Data!C141</f>
        <v/>
      </c>
      <c r="D141">
        <f>IF(A141="","",SUM(Input_Data!D141:I141))</f>
        <v/>
      </c>
      <c r="E141">
        <f>IF(D141="","",D141/6)</f>
        <v/>
      </c>
      <c r="F141" s="2">
        <f>IF(D141="","",IF(COUNTA($D$2:$D$300)&lt;=1,0,PERCENTRANK.INC($D$2:$D$300,D141)))</f>
        <v/>
      </c>
      <c r="G141" s="2">
        <f>Input_Data!J141</f>
        <v/>
      </c>
      <c r="H141" s="2">
        <f>IF(G141="","",IF(COUNTA($G$2:$G$300)&lt;=1,0,PERCENTRANK.INC($G$2:$G$300,G141)))</f>
        <v/>
      </c>
      <c r="I141" s="2">
        <f>IF(F141="","",1-F141)</f>
        <v/>
      </c>
      <c r="J141" s="2">
        <f>IF(A141="","",0.6*I141+0.4*H141)</f>
        <v/>
      </c>
      <c r="K141">
        <f>IF(F141="","",IF(F141&lt;=0.33,"Low Movement",IF(F141&lt;=0.66,"Medium Movement","High Movement")))</f>
        <v/>
      </c>
      <c r="L141">
        <f>IF(J141="","",IF(J141&gt;=0.67,"High Value Bundle",IF(J141&gt;=0.34,"Medium Value Bundle","Low Value Bundle")))</f>
        <v/>
      </c>
      <c r="M141">
        <f>IF(A141="","",IF(AND(F141&gt;=0.66,H141&gt;=0.66),"Yes","No"))</f>
        <v/>
      </c>
      <c r="N141">
        <f>IF(A141="","",IF(K141="Low Movement","Yes","No"))</f>
        <v/>
      </c>
      <c r="O141" s="2">
        <f>IF(L141="","",IF(L141="High Value Bundle",0.10,IF(L141="Medium Value Bundle",0.15,0.20)))</f>
        <v/>
      </c>
      <c r="P141">
        <f>IF(M141="Yes",C141&amp;"|anchor","")</f>
        <v/>
      </c>
      <c r="Q141">
        <f>IF(M141="Yes",B141,"")</f>
        <v/>
      </c>
    </row>
    <row r="142">
      <c r="A142">
        <f>Input_Data!A142</f>
        <v/>
      </c>
      <c r="B142">
        <f>Input_Data!B142</f>
        <v/>
      </c>
      <c r="C142">
        <f>Input_Data!C142</f>
        <v/>
      </c>
      <c r="D142">
        <f>IF(A142="","",SUM(Input_Data!D142:I142))</f>
        <v/>
      </c>
      <c r="E142">
        <f>IF(D142="","",D142/6)</f>
        <v/>
      </c>
      <c r="F142" s="2">
        <f>IF(D142="","",IF(COUNTA($D$2:$D$300)&lt;=1,0,PERCENTRANK.INC($D$2:$D$300,D142)))</f>
        <v/>
      </c>
      <c r="G142" s="2">
        <f>Input_Data!J142</f>
        <v/>
      </c>
      <c r="H142" s="2">
        <f>IF(G142="","",IF(COUNTA($G$2:$G$300)&lt;=1,0,PERCENTRANK.INC($G$2:$G$300,G142)))</f>
        <v/>
      </c>
      <c r="I142" s="2">
        <f>IF(F142="","",1-F142)</f>
        <v/>
      </c>
      <c r="J142" s="2">
        <f>IF(A142="","",0.6*I142+0.4*H142)</f>
        <v/>
      </c>
      <c r="K142">
        <f>IF(F142="","",IF(F142&lt;=0.33,"Low Movement",IF(F142&lt;=0.66,"Medium Movement","High Movement")))</f>
        <v/>
      </c>
      <c r="L142">
        <f>IF(J142="","",IF(J142&gt;=0.67,"High Value Bundle",IF(J142&gt;=0.34,"Medium Value Bundle","Low Value Bundle")))</f>
        <v/>
      </c>
      <c r="M142">
        <f>IF(A142="","",IF(AND(F142&gt;=0.66,H142&gt;=0.66),"Yes","No"))</f>
        <v/>
      </c>
      <c r="N142">
        <f>IF(A142="","",IF(K142="Low Movement","Yes","No"))</f>
        <v/>
      </c>
      <c r="O142" s="2">
        <f>IF(L142="","",IF(L142="High Value Bundle",0.10,IF(L142="Medium Value Bundle",0.15,0.20)))</f>
        <v/>
      </c>
      <c r="P142">
        <f>IF(M142="Yes",C142&amp;"|anchor","")</f>
        <v/>
      </c>
      <c r="Q142">
        <f>IF(M142="Yes",B142,"")</f>
        <v/>
      </c>
    </row>
    <row r="143">
      <c r="A143">
        <f>Input_Data!A143</f>
        <v/>
      </c>
      <c r="B143">
        <f>Input_Data!B143</f>
        <v/>
      </c>
      <c r="C143">
        <f>Input_Data!C143</f>
        <v/>
      </c>
      <c r="D143">
        <f>IF(A143="","",SUM(Input_Data!D143:I143))</f>
        <v/>
      </c>
      <c r="E143">
        <f>IF(D143="","",D143/6)</f>
        <v/>
      </c>
      <c r="F143" s="2">
        <f>IF(D143="","",IF(COUNTA($D$2:$D$300)&lt;=1,0,PERCENTRANK.INC($D$2:$D$300,D143)))</f>
        <v/>
      </c>
      <c r="G143" s="2">
        <f>Input_Data!J143</f>
        <v/>
      </c>
      <c r="H143" s="2">
        <f>IF(G143="","",IF(COUNTA($G$2:$G$300)&lt;=1,0,PERCENTRANK.INC($G$2:$G$300,G143)))</f>
        <v/>
      </c>
      <c r="I143" s="2">
        <f>IF(F143="","",1-F143)</f>
        <v/>
      </c>
      <c r="J143" s="2">
        <f>IF(A143="","",0.6*I143+0.4*H143)</f>
        <v/>
      </c>
      <c r="K143">
        <f>IF(F143="","",IF(F143&lt;=0.33,"Low Movement",IF(F143&lt;=0.66,"Medium Movement","High Movement")))</f>
        <v/>
      </c>
      <c r="L143">
        <f>IF(J143="","",IF(J143&gt;=0.67,"High Value Bundle",IF(J143&gt;=0.34,"Medium Value Bundle","Low Value Bundle")))</f>
        <v/>
      </c>
      <c r="M143">
        <f>IF(A143="","",IF(AND(F143&gt;=0.66,H143&gt;=0.66),"Yes","No"))</f>
        <v/>
      </c>
      <c r="N143">
        <f>IF(A143="","",IF(K143="Low Movement","Yes","No"))</f>
        <v/>
      </c>
      <c r="O143" s="2">
        <f>IF(L143="","",IF(L143="High Value Bundle",0.10,IF(L143="Medium Value Bundle",0.15,0.20)))</f>
        <v/>
      </c>
      <c r="P143">
        <f>IF(M143="Yes",C143&amp;"|anchor","")</f>
        <v/>
      </c>
      <c r="Q143">
        <f>IF(M143="Yes",B143,"")</f>
        <v/>
      </c>
    </row>
    <row r="144">
      <c r="A144">
        <f>Input_Data!A144</f>
        <v/>
      </c>
      <c r="B144">
        <f>Input_Data!B144</f>
        <v/>
      </c>
      <c r="C144">
        <f>Input_Data!C144</f>
        <v/>
      </c>
      <c r="D144">
        <f>IF(A144="","",SUM(Input_Data!D144:I144))</f>
        <v/>
      </c>
      <c r="E144">
        <f>IF(D144="","",D144/6)</f>
        <v/>
      </c>
      <c r="F144" s="2">
        <f>IF(D144="","",IF(COUNTA($D$2:$D$300)&lt;=1,0,PERCENTRANK.INC($D$2:$D$300,D144)))</f>
        <v/>
      </c>
      <c r="G144" s="2">
        <f>Input_Data!J144</f>
        <v/>
      </c>
      <c r="H144" s="2">
        <f>IF(G144="","",IF(COUNTA($G$2:$G$300)&lt;=1,0,PERCENTRANK.INC($G$2:$G$300,G144)))</f>
        <v/>
      </c>
      <c r="I144" s="2">
        <f>IF(F144="","",1-F144)</f>
        <v/>
      </c>
      <c r="J144" s="2">
        <f>IF(A144="","",0.6*I144+0.4*H144)</f>
        <v/>
      </c>
      <c r="K144">
        <f>IF(F144="","",IF(F144&lt;=0.33,"Low Movement",IF(F144&lt;=0.66,"Medium Movement","High Movement")))</f>
        <v/>
      </c>
      <c r="L144">
        <f>IF(J144="","",IF(J144&gt;=0.67,"High Value Bundle",IF(J144&gt;=0.34,"Medium Value Bundle","Low Value Bundle")))</f>
        <v/>
      </c>
      <c r="M144">
        <f>IF(A144="","",IF(AND(F144&gt;=0.66,H144&gt;=0.66),"Yes","No"))</f>
        <v/>
      </c>
      <c r="N144">
        <f>IF(A144="","",IF(K144="Low Movement","Yes","No"))</f>
        <v/>
      </c>
      <c r="O144" s="2">
        <f>IF(L144="","",IF(L144="High Value Bundle",0.10,IF(L144="Medium Value Bundle",0.15,0.20)))</f>
        <v/>
      </c>
      <c r="P144">
        <f>IF(M144="Yes",C144&amp;"|anchor","")</f>
        <v/>
      </c>
      <c r="Q144">
        <f>IF(M144="Yes",B144,"")</f>
        <v/>
      </c>
    </row>
    <row r="145">
      <c r="A145">
        <f>Input_Data!A145</f>
        <v/>
      </c>
      <c r="B145">
        <f>Input_Data!B145</f>
        <v/>
      </c>
      <c r="C145">
        <f>Input_Data!C145</f>
        <v/>
      </c>
      <c r="D145">
        <f>IF(A145="","",SUM(Input_Data!D145:I145))</f>
        <v/>
      </c>
      <c r="E145">
        <f>IF(D145="","",D145/6)</f>
        <v/>
      </c>
      <c r="F145" s="2">
        <f>IF(D145="","",IF(COUNTA($D$2:$D$300)&lt;=1,0,PERCENTRANK.INC($D$2:$D$300,D145)))</f>
        <v/>
      </c>
      <c r="G145" s="2">
        <f>Input_Data!J145</f>
        <v/>
      </c>
      <c r="H145" s="2">
        <f>IF(G145="","",IF(COUNTA($G$2:$G$300)&lt;=1,0,PERCENTRANK.INC($G$2:$G$300,G145)))</f>
        <v/>
      </c>
      <c r="I145" s="2">
        <f>IF(F145="","",1-F145)</f>
        <v/>
      </c>
      <c r="J145" s="2">
        <f>IF(A145="","",0.6*I145+0.4*H145)</f>
        <v/>
      </c>
      <c r="K145">
        <f>IF(F145="","",IF(F145&lt;=0.33,"Low Movement",IF(F145&lt;=0.66,"Medium Movement","High Movement")))</f>
        <v/>
      </c>
      <c r="L145">
        <f>IF(J145="","",IF(J145&gt;=0.67,"High Value Bundle",IF(J145&gt;=0.34,"Medium Value Bundle","Low Value Bundle")))</f>
        <v/>
      </c>
      <c r="M145">
        <f>IF(A145="","",IF(AND(F145&gt;=0.66,H145&gt;=0.66),"Yes","No"))</f>
        <v/>
      </c>
      <c r="N145">
        <f>IF(A145="","",IF(K145="Low Movement","Yes","No"))</f>
        <v/>
      </c>
      <c r="O145" s="2">
        <f>IF(L145="","",IF(L145="High Value Bundle",0.10,IF(L145="Medium Value Bundle",0.15,0.20)))</f>
        <v/>
      </c>
      <c r="P145">
        <f>IF(M145="Yes",C145&amp;"|anchor","")</f>
        <v/>
      </c>
      <c r="Q145">
        <f>IF(M145="Yes",B145,"")</f>
        <v/>
      </c>
    </row>
    <row r="146">
      <c r="A146">
        <f>Input_Data!A146</f>
        <v/>
      </c>
      <c r="B146">
        <f>Input_Data!B146</f>
        <v/>
      </c>
      <c r="C146">
        <f>Input_Data!C146</f>
        <v/>
      </c>
      <c r="D146">
        <f>IF(A146="","",SUM(Input_Data!D146:I146))</f>
        <v/>
      </c>
      <c r="E146">
        <f>IF(D146="","",D146/6)</f>
        <v/>
      </c>
      <c r="F146" s="2">
        <f>IF(D146="","",IF(COUNTA($D$2:$D$300)&lt;=1,0,PERCENTRANK.INC($D$2:$D$300,D146)))</f>
        <v/>
      </c>
      <c r="G146" s="2">
        <f>Input_Data!J146</f>
        <v/>
      </c>
      <c r="H146" s="2">
        <f>IF(G146="","",IF(COUNTA($G$2:$G$300)&lt;=1,0,PERCENTRANK.INC($G$2:$G$300,G146)))</f>
        <v/>
      </c>
      <c r="I146" s="2">
        <f>IF(F146="","",1-F146)</f>
        <v/>
      </c>
      <c r="J146" s="2">
        <f>IF(A146="","",0.6*I146+0.4*H146)</f>
        <v/>
      </c>
      <c r="K146">
        <f>IF(F146="","",IF(F146&lt;=0.33,"Low Movement",IF(F146&lt;=0.66,"Medium Movement","High Movement")))</f>
        <v/>
      </c>
      <c r="L146">
        <f>IF(J146="","",IF(J146&gt;=0.67,"High Value Bundle",IF(J146&gt;=0.34,"Medium Value Bundle","Low Value Bundle")))</f>
        <v/>
      </c>
      <c r="M146">
        <f>IF(A146="","",IF(AND(F146&gt;=0.66,H146&gt;=0.66),"Yes","No"))</f>
        <v/>
      </c>
      <c r="N146">
        <f>IF(A146="","",IF(K146="Low Movement","Yes","No"))</f>
        <v/>
      </c>
      <c r="O146" s="2">
        <f>IF(L146="","",IF(L146="High Value Bundle",0.10,IF(L146="Medium Value Bundle",0.15,0.20)))</f>
        <v/>
      </c>
      <c r="P146">
        <f>IF(M146="Yes",C146&amp;"|anchor","")</f>
        <v/>
      </c>
      <c r="Q146">
        <f>IF(M146="Yes",B146,"")</f>
        <v/>
      </c>
    </row>
    <row r="147">
      <c r="A147">
        <f>Input_Data!A147</f>
        <v/>
      </c>
      <c r="B147">
        <f>Input_Data!B147</f>
        <v/>
      </c>
      <c r="C147">
        <f>Input_Data!C147</f>
        <v/>
      </c>
      <c r="D147">
        <f>IF(A147="","",SUM(Input_Data!D147:I147))</f>
        <v/>
      </c>
      <c r="E147">
        <f>IF(D147="","",D147/6)</f>
        <v/>
      </c>
      <c r="F147" s="2">
        <f>IF(D147="","",IF(COUNTA($D$2:$D$300)&lt;=1,0,PERCENTRANK.INC($D$2:$D$300,D147)))</f>
        <v/>
      </c>
      <c r="G147" s="2">
        <f>Input_Data!J147</f>
        <v/>
      </c>
      <c r="H147" s="2">
        <f>IF(G147="","",IF(COUNTA($G$2:$G$300)&lt;=1,0,PERCENTRANK.INC($G$2:$G$300,G147)))</f>
        <v/>
      </c>
      <c r="I147" s="2">
        <f>IF(F147="","",1-F147)</f>
        <v/>
      </c>
      <c r="J147" s="2">
        <f>IF(A147="","",0.6*I147+0.4*H147)</f>
        <v/>
      </c>
      <c r="K147">
        <f>IF(F147="","",IF(F147&lt;=0.33,"Low Movement",IF(F147&lt;=0.66,"Medium Movement","High Movement")))</f>
        <v/>
      </c>
      <c r="L147">
        <f>IF(J147="","",IF(J147&gt;=0.67,"High Value Bundle",IF(J147&gt;=0.34,"Medium Value Bundle","Low Value Bundle")))</f>
        <v/>
      </c>
      <c r="M147">
        <f>IF(A147="","",IF(AND(F147&gt;=0.66,H147&gt;=0.66),"Yes","No"))</f>
        <v/>
      </c>
      <c r="N147">
        <f>IF(A147="","",IF(K147="Low Movement","Yes","No"))</f>
        <v/>
      </c>
      <c r="O147" s="2">
        <f>IF(L147="","",IF(L147="High Value Bundle",0.10,IF(L147="Medium Value Bundle",0.15,0.20)))</f>
        <v/>
      </c>
      <c r="P147">
        <f>IF(M147="Yes",C147&amp;"|anchor","")</f>
        <v/>
      </c>
      <c r="Q147">
        <f>IF(M147="Yes",B147,"")</f>
        <v/>
      </c>
    </row>
    <row r="148">
      <c r="A148">
        <f>Input_Data!A148</f>
        <v/>
      </c>
      <c r="B148">
        <f>Input_Data!B148</f>
        <v/>
      </c>
      <c r="C148">
        <f>Input_Data!C148</f>
        <v/>
      </c>
      <c r="D148">
        <f>IF(A148="","",SUM(Input_Data!D148:I148))</f>
        <v/>
      </c>
      <c r="E148">
        <f>IF(D148="","",D148/6)</f>
        <v/>
      </c>
      <c r="F148" s="2">
        <f>IF(D148="","",IF(COUNTA($D$2:$D$300)&lt;=1,0,PERCENTRANK.INC($D$2:$D$300,D148)))</f>
        <v/>
      </c>
      <c r="G148" s="2">
        <f>Input_Data!J148</f>
        <v/>
      </c>
      <c r="H148" s="2">
        <f>IF(G148="","",IF(COUNTA($G$2:$G$300)&lt;=1,0,PERCENTRANK.INC($G$2:$G$300,G148)))</f>
        <v/>
      </c>
      <c r="I148" s="2">
        <f>IF(F148="","",1-F148)</f>
        <v/>
      </c>
      <c r="J148" s="2">
        <f>IF(A148="","",0.6*I148+0.4*H148)</f>
        <v/>
      </c>
      <c r="K148">
        <f>IF(F148="","",IF(F148&lt;=0.33,"Low Movement",IF(F148&lt;=0.66,"Medium Movement","High Movement")))</f>
        <v/>
      </c>
      <c r="L148">
        <f>IF(J148="","",IF(J148&gt;=0.67,"High Value Bundle",IF(J148&gt;=0.34,"Medium Value Bundle","Low Value Bundle")))</f>
        <v/>
      </c>
      <c r="M148">
        <f>IF(A148="","",IF(AND(F148&gt;=0.66,H148&gt;=0.66),"Yes","No"))</f>
        <v/>
      </c>
      <c r="N148">
        <f>IF(A148="","",IF(K148="Low Movement","Yes","No"))</f>
        <v/>
      </c>
      <c r="O148" s="2">
        <f>IF(L148="","",IF(L148="High Value Bundle",0.10,IF(L148="Medium Value Bundle",0.15,0.20)))</f>
        <v/>
      </c>
      <c r="P148">
        <f>IF(M148="Yes",C148&amp;"|anchor","")</f>
        <v/>
      </c>
      <c r="Q148">
        <f>IF(M148="Yes",B148,"")</f>
        <v/>
      </c>
    </row>
    <row r="149">
      <c r="A149">
        <f>Input_Data!A149</f>
        <v/>
      </c>
      <c r="B149">
        <f>Input_Data!B149</f>
        <v/>
      </c>
      <c r="C149">
        <f>Input_Data!C149</f>
        <v/>
      </c>
      <c r="D149">
        <f>IF(A149="","",SUM(Input_Data!D149:I149))</f>
        <v/>
      </c>
      <c r="E149">
        <f>IF(D149="","",D149/6)</f>
        <v/>
      </c>
      <c r="F149" s="2">
        <f>IF(D149="","",IF(COUNTA($D$2:$D$300)&lt;=1,0,PERCENTRANK.INC($D$2:$D$300,D149)))</f>
        <v/>
      </c>
      <c r="G149" s="2">
        <f>Input_Data!J149</f>
        <v/>
      </c>
      <c r="H149" s="2">
        <f>IF(G149="","",IF(COUNTA($G$2:$G$300)&lt;=1,0,PERCENTRANK.INC($G$2:$G$300,G149)))</f>
        <v/>
      </c>
      <c r="I149" s="2">
        <f>IF(F149="","",1-F149)</f>
        <v/>
      </c>
      <c r="J149" s="2">
        <f>IF(A149="","",0.6*I149+0.4*H149)</f>
        <v/>
      </c>
      <c r="K149">
        <f>IF(F149="","",IF(F149&lt;=0.33,"Low Movement",IF(F149&lt;=0.66,"Medium Movement","High Movement")))</f>
        <v/>
      </c>
      <c r="L149">
        <f>IF(J149="","",IF(J149&gt;=0.67,"High Value Bundle",IF(J149&gt;=0.34,"Medium Value Bundle","Low Value Bundle")))</f>
        <v/>
      </c>
      <c r="M149">
        <f>IF(A149="","",IF(AND(F149&gt;=0.66,H149&gt;=0.66),"Yes","No"))</f>
        <v/>
      </c>
      <c r="N149">
        <f>IF(A149="","",IF(K149="Low Movement","Yes","No"))</f>
        <v/>
      </c>
      <c r="O149" s="2">
        <f>IF(L149="","",IF(L149="High Value Bundle",0.10,IF(L149="Medium Value Bundle",0.15,0.20)))</f>
        <v/>
      </c>
      <c r="P149">
        <f>IF(M149="Yes",C149&amp;"|anchor","")</f>
        <v/>
      </c>
      <c r="Q149">
        <f>IF(M149="Yes",B149,"")</f>
        <v/>
      </c>
    </row>
    <row r="150">
      <c r="A150">
        <f>Input_Data!A150</f>
        <v/>
      </c>
      <c r="B150">
        <f>Input_Data!B150</f>
        <v/>
      </c>
      <c r="C150">
        <f>Input_Data!C150</f>
        <v/>
      </c>
      <c r="D150">
        <f>IF(A150="","",SUM(Input_Data!D150:I150))</f>
        <v/>
      </c>
      <c r="E150">
        <f>IF(D150="","",D150/6)</f>
        <v/>
      </c>
      <c r="F150" s="2">
        <f>IF(D150="","",IF(COUNTA($D$2:$D$300)&lt;=1,0,PERCENTRANK.INC($D$2:$D$300,D150)))</f>
        <v/>
      </c>
      <c r="G150" s="2">
        <f>Input_Data!J150</f>
        <v/>
      </c>
      <c r="H150" s="2">
        <f>IF(G150="","",IF(COUNTA($G$2:$G$300)&lt;=1,0,PERCENTRANK.INC($G$2:$G$300,G150)))</f>
        <v/>
      </c>
      <c r="I150" s="2">
        <f>IF(F150="","",1-F150)</f>
        <v/>
      </c>
      <c r="J150" s="2">
        <f>IF(A150="","",0.6*I150+0.4*H150)</f>
        <v/>
      </c>
      <c r="K150">
        <f>IF(F150="","",IF(F150&lt;=0.33,"Low Movement",IF(F150&lt;=0.66,"Medium Movement","High Movement")))</f>
        <v/>
      </c>
      <c r="L150">
        <f>IF(J150="","",IF(J150&gt;=0.67,"High Value Bundle",IF(J150&gt;=0.34,"Medium Value Bundle","Low Value Bundle")))</f>
        <v/>
      </c>
      <c r="M150">
        <f>IF(A150="","",IF(AND(F150&gt;=0.66,H150&gt;=0.66),"Yes","No"))</f>
        <v/>
      </c>
      <c r="N150">
        <f>IF(A150="","",IF(K150="Low Movement","Yes","No"))</f>
        <v/>
      </c>
      <c r="O150" s="2">
        <f>IF(L150="","",IF(L150="High Value Bundle",0.10,IF(L150="Medium Value Bundle",0.15,0.20)))</f>
        <v/>
      </c>
      <c r="P150">
        <f>IF(M150="Yes",C150&amp;"|anchor","")</f>
        <v/>
      </c>
      <c r="Q150">
        <f>IF(M150="Yes",B150,"")</f>
        <v/>
      </c>
    </row>
    <row r="151">
      <c r="A151">
        <f>Input_Data!A151</f>
        <v/>
      </c>
      <c r="B151">
        <f>Input_Data!B151</f>
        <v/>
      </c>
      <c r="C151">
        <f>Input_Data!C151</f>
        <v/>
      </c>
      <c r="D151">
        <f>IF(A151="","",SUM(Input_Data!D151:I151))</f>
        <v/>
      </c>
      <c r="E151">
        <f>IF(D151="","",D151/6)</f>
        <v/>
      </c>
      <c r="F151" s="2">
        <f>IF(D151="","",IF(COUNTA($D$2:$D$300)&lt;=1,0,PERCENTRANK.INC($D$2:$D$300,D151)))</f>
        <v/>
      </c>
      <c r="G151" s="2">
        <f>Input_Data!J151</f>
        <v/>
      </c>
      <c r="H151" s="2">
        <f>IF(G151="","",IF(COUNTA($G$2:$G$300)&lt;=1,0,PERCENTRANK.INC($G$2:$G$300,G151)))</f>
        <v/>
      </c>
      <c r="I151" s="2">
        <f>IF(F151="","",1-F151)</f>
        <v/>
      </c>
      <c r="J151" s="2">
        <f>IF(A151="","",0.6*I151+0.4*H151)</f>
        <v/>
      </c>
      <c r="K151">
        <f>IF(F151="","",IF(F151&lt;=0.33,"Low Movement",IF(F151&lt;=0.66,"Medium Movement","High Movement")))</f>
        <v/>
      </c>
      <c r="L151">
        <f>IF(J151="","",IF(J151&gt;=0.67,"High Value Bundle",IF(J151&gt;=0.34,"Medium Value Bundle","Low Value Bundle")))</f>
        <v/>
      </c>
      <c r="M151">
        <f>IF(A151="","",IF(AND(F151&gt;=0.66,H151&gt;=0.66),"Yes","No"))</f>
        <v/>
      </c>
      <c r="N151">
        <f>IF(A151="","",IF(K151="Low Movement","Yes","No"))</f>
        <v/>
      </c>
      <c r="O151" s="2">
        <f>IF(L151="","",IF(L151="High Value Bundle",0.10,IF(L151="Medium Value Bundle",0.15,0.20)))</f>
        <v/>
      </c>
      <c r="P151">
        <f>IF(M151="Yes",C151&amp;"|anchor","")</f>
        <v/>
      </c>
      <c r="Q151">
        <f>IF(M151="Yes",B151,"")</f>
        <v/>
      </c>
    </row>
    <row r="152">
      <c r="A152">
        <f>Input_Data!A152</f>
        <v/>
      </c>
      <c r="B152">
        <f>Input_Data!B152</f>
        <v/>
      </c>
      <c r="C152">
        <f>Input_Data!C152</f>
        <v/>
      </c>
      <c r="D152">
        <f>IF(A152="","",SUM(Input_Data!D152:I152))</f>
        <v/>
      </c>
      <c r="E152">
        <f>IF(D152="","",D152/6)</f>
        <v/>
      </c>
      <c r="F152" s="2">
        <f>IF(D152="","",IF(COUNTA($D$2:$D$300)&lt;=1,0,PERCENTRANK.INC($D$2:$D$300,D152)))</f>
        <v/>
      </c>
      <c r="G152" s="2">
        <f>Input_Data!J152</f>
        <v/>
      </c>
      <c r="H152" s="2">
        <f>IF(G152="","",IF(COUNTA($G$2:$G$300)&lt;=1,0,PERCENTRANK.INC($G$2:$G$300,G152)))</f>
        <v/>
      </c>
      <c r="I152" s="2">
        <f>IF(F152="","",1-F152)</f>
        <v/>
      </c>
      <c r="J152" s="2">
        <f>IF(A152="","",0.6*I152+0.4*H152)</f>
        <v/>
      </c>
      <c r="K152">
        <f>IF(F152="","",IF(F152&lt;=0.33,"Low Movement",IF(F152&lt;=0.66,"Medium Movement","High Movement")))</f>
        <v/>
      </c>
      <c r="L152">
        <f>IF(J152="","",IF(J152&gt;=0.67,"High Value Bundle",IF(J152&gt;=0.34,"Medium Value Bundle","Low Value Bundle")))</f>
        <v/>
      </c>
      <c r="M152">
        <f>IF(A152="","",IF(AND(F152&gt;=0.66,H152&gt;=0.66),"Yes","No"))</f>
        <v/>
      </c>
      <c r="N152">
        <f>IF(A152="","",IF(K152="Low Movement","Yes","No"))</f>
        <v/>
      </c>
      <c r="O152" s="2">
        <f>IF(L152="","",IF(L152="High Value Bundle",0.10,IF(L152="Medium Value Bundle",0.15,0.20)))</f>
        <v/>
      </c>
      <c r="P152">
        <f>IF(M152="Yes",C152&amp;"|anchor","")</f>
        <v/>
      </c>
      <c r="Q152">
        <f>IF(M152="Yes",B152,"")</f>
        <v/>
      </c>
    </row>
    <row r="153">
      <c r="A153">
        <f>Input_Data!A153</f>
        <v/>
      </c>
      <c r="B153">
        <f>Input_Data!B153</f>
        <v/>
      </c>
      <c r="C153">
        <f>Input_Data!C153</f>
        <v/>
      </c>
      <c r="D153">
        <f>IF(A153="","",SUM(Input_Data!D153:I153))</f>
        <v/>
      </c>
      <c r="E153">
        <f>IF(D153="","",D153/6)</f>
        <v/>
      </c>
      <c r="F153" s="2">
        <f>IF(D153="","",IF(COUNTA($D$2:$D$300)&lt;=1,0,PERCENTRANK.INC($D$2:$D$300,D153)))</f>
        <v/>
      </c>
      <c r="G153" s="2">
        <f>Input_Data!J153</f>
        <v/>
      </c>
      <c r="H153" s="2">
        <f>IF(G153="","",IF(COUNTA($G$2:$G$300)&lt;=1,0,PERCENTRANK.INC($G$2:$G$300,G153)))</f>
        <v/>
      </c>
      <c r="I153" s="2">
        <f>IF(F153="","",1-F153)</f>
        <v/>
      </c>
      <c r="J153" s="2">
        <f>IF(A153="","",0.6*I153+0.4*H153)</f>
        <v/>
      </c>
      <c r="K153">
        <f>IF(F153="","",IF(F153&lt;=0.33,"Low Movement",IF(F153&lt;=0.66,"Medium Movement","High Movement")))</f>
        <v/>
      </c>
      <c r="L153">
        <f>IF(J153="","",IF(J153&gt;=0.67,"High Value Bundle",IF(J153&gt;=0.34,"Medium Value Bundle","Low Value Bundle")))</f>
        <v/>
      </c>
      <c r="M153">
        <f>IF(A153="","",IF(AND(F153&gt;=0.66,H153&gt;=0.66),"Yes","No"))</f>
        <v/>
      </c>
      <c r="N153">
        <f>IF(A153="","",IF(K153="Low Movement","Yes","No"))</f>
        <v/>
      </c>
      <c r="O153" s="2">
        <f>IF(L153="","",IF(L153="High Value Bundle",0.10,IF(L153="Medium Value Bundle",0.15,0.20)))</f>
        <v/>
      </c>
      <c r="P153">
        <f>IF(M153="Yes",C153&amp;"|anchor","")</f>
        <v/>
      </c>
      <c r="Q153">
        <f>IF(M153="Yes",B153,"")</f>
        <v/>
      </c>
    </row>
    <row r="154">
      <c r="A154">
        <f>Input_Data!A154</f>
        <v/>
      </c>
      <c r="B154">
        <f>Input_Data!B154</f>
        <v/>
      </c>
      <c r="C154">
        <f>Input_Data!C154</f>
        <v/>
      </c>
      <c r="D154">
        <f>IF(A154="","",SUM(Input_Data!D154:I154))</f>
        <v/>
      </c>
      <c r="E154">
        <f>IF(D154="","",D154/6)</f>
        <v/>
      </c>
      <c r="F154" s="2">
        <f>IF(D154="","",IF(COUNTA($D$2:$D$300)&lt;=1,0,PERCENTRANK.INC($D$2:$D$300,D154)))</f>
        <v/>
      </c>
      <c r="G154" s="2">
        <f>Input_Data!J154</f>
        <v/>
      </c>
      <c r="H154" s="2">
        <f>IF(G154="","",IF(COUNTA($G$2:$G$300)&lt;=1,0,PERCENTRANK.INC($G$2:$G$300,G154)))</f>
        <v/>
      </c>
      <c r="I154" s="2">
        <f>IF(F154="","",1-F154)</f>
        <v/>
      </c>
      <c r="J154" s="2">
        <f>IF(A154="","",0.6*I154+0.4*H154)</f>
        <v/>
      </c>
      <c r="K154">
        <f>IF(F154="","",IF(F154&lt;=0.33,"Low Movement",IF(F154&lt;=0.66,"Medium Movement","High Movement")))</f>
        <v/>
      </c>
      <c r="L154">
        <f>IF(J154="","",IF(J154&gt;=0.67,"High Value Bundle",IF(J154&gt;=0.34,"Medium Value Bundle","Low Value Bundle")))</f>
        <v/>
      </c>
      <c r="M154">
        <f>IF(A154="","",IF(AND(F154&gt;=0.66,H154&gt;=0.66),"Yes","No"))</f>
        <v/>
      </c>
      <c r="N154">
        <f>IF(A154="","",IF(K154="Low Movement","Yes","No"))</f>
        <v/>
      </c>
      <c r="O154" s="2">
        <f>IF(L154="","",IF(L154="High Value Bundle",0.10,IF(L154="Medium Value Bundle",0.15,0.20)))</f>
        <v/>
      </c>
      <c r="P154">
        <f>IF(M154="Yes",C154&amp;"|anchor","")</f>
        <v/>
      </c>
      <c r="Q154">
        <f>IF(M154="Yes",B154,"")</f>
        <v/>
      </c>
    </row>
    <row r="155">
      <c r="A155">
        <f>Input_Data!A155</f>
        <v/>
      </c>
      <c r="B155">
        <f>Input_Data!B155</f>
        <v/>
      </c>
      <c r="C155">
        <f>Input_Data!C155</f>
        <v/>
      </c>
      <c r="D155">
        <f>IF(A155="","",SUM(Input_Data!D155:I155))</f>
        <v/>
      </c>
      <c r="E155">
        <f>IF(D155="","",D155/6)</f>
        <v/>
      </c>
      <c r="F155" s="2">
        <f>IF(D155="","",IF(COUNTA($D$2:$D$300)&lt;=1,0,PERCENTRANK.INC($D$2:$D$300,D155)))</f>
        <v/>
      </c>
      <c r="G155" s="2">
        <f>Input_Data!J155</f>
        <v/>
      </c>
      <c r="H155" s="2">
        <f>IF(G155="","",IF(COUNTA($G$2:$G$300)&lt;=1,0,PERCENTRANK.INC($G$2:$G$300,G155)))</f>
        <v/>
      </c>
      <c r="I155" s="2">
        <f>IF(F155="","",1-F155)</f>
        <v/>
      </c>
      <c r="J155" s="2">
        <f>IF(A155="","",0.6*I155+0.4*H155)</f>
        <v/>
      </c>
      <c r="K155">
        <f>IF(F155="","",IF(F155&lt;=0.33,"Low Movement",IF(F155&lt;=0.66,"Medium Movement","High Movement")))</f>
        <v/>
      </c>
      <c r="L155">
        <f>IF(J155="","",IF(J155&gt;=0.67,"High Value Bundle",IF(J155&gt;=0.34,"Medium Value Bundle","Low Value Bundle")))</f>
        <v/>
      </c>
      <c r="M155">
        <f>IF(A155="","",IF(AND(F155&gt;=0.66,H155&gt;=0.66),"Yes","No"))</f>
        <v/>
      </c>
      <c r="N155">
        <f>IF(A155="","",IF(K155="Low Movement","Yes","No"))</f>
        <v/>
      </c>
      <c r="O155" s="2">
        <f>IF(L155="","",IF(L155="High Value Bundle",0.10,IF(L155="Medium Value Bundle",0.15,0.20)))</f>
        <v/>
      </c>
      <c r="P155">
        <f>IF(M155="Yes",C155&amp;"|anchor","")</f>
        <v/>
      </c>
      <c r="Q155">
        <f>IF(M155="Yes",B155,"")</f>
        <v/>
      </c>
    </row>
    <row r="156">
      <c r="A156">
        <f>Input_Data!A156</f>
        <v/>
      </c>
      <c r="B156">
        <f>Input_Data!B156</f>
        <v/>
      </c>
      <c r="C156">
        <f>Input_Data!C156</f>
        <v/>
      </c>
      <c r="D156">
        <f>IF(A156="","",SUM(Input_Data!D156:I156))</f>
        <v/>
      </c>
      <c r="E156">
        <f>IF(D156="","",D156/6)</f>
        <v/>
      </c>
      <c r="F156" s="2">
        <f>IF(D156="","",IF(COUNTA($D$2:$D$300)&lt;=1,0,PERCENTRANK.INC($D$2:$D$300,D156)))</f>
        <v/>
      </c>
      <c r="G156" s="2">
        <f>Input_Data!J156</f>
        <v/>
      </c>
      <c r="H156" s="2">
        <f>IF(G156="","",IF(COUNTA($G$2:$G$300)&lt;=1,0,PERCENTRANK.INC($G$2:$G$300,G156)))</f>
        <v/>
      </c>
      <c r="I156" s="2">
        <f>IF(F156="","",1-F156)</f>
        <v/>
      </c>
      <c r="J156" s="2">
        <f>IF(A156="","",0.6*I156+0.4*H156)</f>
        <v/>
      </c>
      <c r="K156">
        <f>IF(F156="","",IF(F156&lt;=0.33,"Low Movement",IF(F156&lt;=0.66,"Medium Movement","High Movement")))</f>
        <v/>
      </c>
      <c r="L156">
        <f>IF(J156="","",IF(J156&gt;=0.67,"High Value Bundle",IF(J156&gt;=0.34,"Medium Value Bundle","Low Value Bundle")))</f>
        <v/>
      </c>
      <c r="M156">
        <f>IF(A156="","",IF(AND(F156&gt;=0.66,H156&gt;=0.66),"Yes","No"))</f>
        <v/>
      </c>
      <c r="N156">
        <f>IF(A156="","",IF(K156="Low Movement","Yes","No"))</f>
        <v/>
      </c>
      <c r="O156" s="2">
        <f>IF(L156="","",IF(L156="High Value Bundle",0.10,IF(L156="Medium Value Bundle",0.15,0.20)))</f>
        <v/>
      </c>
      <c r="P156">
        <f>IF(M156="Yes",C156&amp;"|anchor","")</f>
        <v/>
      </c>
      <c r="Q156">
        <f>IF(M156="Yes",B156,"")</f>
        <v/>
      </c>
    </row>
    <row r="157">
      <c r="A157">
        <f>Input_Data!A157</f>
        <v/>
      </c>
      <c r="B157">
        <f>Input_Data!B157</f>
        <v/>
      </c>
      <c r="C157">
        <f>Input_Data!C157</f>
        <v/>
      </c>
      <c r="D157">
        <f>IF(A157="","",SUM(Input_Data!D157:I157))</f>
        <v/>
      </c>
      <c r="E157">
        <f>IF(D157="","",D157/6)</f>
        <v/>
      </c>
      <c r="F157" s="2">
        <f>IF(D157="","",IF(COUNTA($D$2:$D$300)&lt;=1,0,PERCENTRANK.INC($D$2:$D$300,D157)))</f>
        <v/>
      </c>
      <c r="G157" s="2">
        <f>Input_Data!J157</f>
        <v/>
      </c>
      <c r="H157" s="2">
        <f>IF(G157="","",IF(COUNTA($G$2:$G$300)&lt;=1,0,PERCENTRANK.INC($G$2:$G$300,G157)))</f>
        <v/>
      </c>
      <c r="I157" s="2">
        <f>IF(F157="","",1-F157)</f>
        <v/>
      </c>
      <c r="J157" s="2">
        <f>IF(A157="","",0.6*I157+0.4*H157)</f>
        <v/>
      </c>
      <c r="K157">
        <f>IF(F157="","",IF(F157&lt;=0.33,"Low Movement",IF(F157&lt;=0.66,"Medium Movement","High Movement")))</f>
        <v/>
      </c>
      <c r="L157">
        <f>IF(J157="","",IF(J157&gt;=0.67,"High Value Bundle",IF(J157&gt;=0.34,"Medium Value Bundle","Low Value Bundle")))</f>
        <v/>
      </c>
      <c r="M157">
        <f>IF(A157="","",IF(AND(F157&gt;=0.66,H157&gt;=0.66),"Yes","No"))</f>
        <v/>
      </c>
      <c r="N157">
        <f>IF(A157="","",IF(K157="Low Movement","Yes","No"))</f>
        <v/>
      </c>
      <c r="O157" s="2">
        <f>IF(L157="","",IF(L157="High Value Bundle",0.10,IF(L157="Medium Value Bundle",0.15,0.20)))</f>
        <v/>
      </c>
      <c r="P157">
        <f>IF(M157="Yes",C157&amp;"|anchor","")</f>
        <v/>
      </c>
      <c r="Q157">
        <f>IF(M157="Yes",B157,"")</f>
        <v/>
      </c>
    </row>
    <row r="158">
      <c r="A158">
        <f>Input_Data!A158</f>
        <v/>
      </c>
      <c r="B158">
        <f>Input_Data!B158</f>
        <v/>
      </c>
      <c r="C158">
        <f>Input_Data!C158</f>
        <v/>
      </c>
      <c r="D158">
        <f>IF(A158="","",SUM(Input_Data!D158:I158))</f>
        <v/>
      </c>
      <c r="E158">
        <f>IF(D158="","",D158/6)</f>
        <v/>
      </c>
      <c r="F158" s="2">
        <f>IF(D158="","",IF(COUNTA($D$2:$D$300)&lt;=1,0,PERCENTRANK.INC($D$2:$D$300,D158)))</f>
        <v/>
      </c>
      <c r="G158" s="2">
        <f>Input_Data!J158</f>
        <v/>
      </c>
      <c r="H158" s="2">
        <f>IF(G158="","",IF(COUNTA($G$2:$G$300)&lt;=1,0,PERCENTRANK.INC($G$2:$G$300,G158)))</f>
        <v/>
      </c>
      <c r="I158" s="2">
        <f>IF(F158="","",1-F158)</f>
        <v/>
      </c>
      <c r="J158" s="2">
        <f>IF(A158="","",0.6*I158+0.4*H158)</f>
        <v/>
      </c>
      <c r="K158">
        <f>IF(F158="","",IF(F158&lt;=0.33,"Low Movement",IF(F158&lt;=0.66,"Medium Movement","High Movement")))</f>
        <v/>
      </c>
      <c r="L158">
        <f>IF(J158="","",IF(J158&gt;=0.67,"High Value Bundle",IF(J158&gt;=0.34,"Medium Value Bundle","Low Value Bundle")))</f>
        <v/>
      </c>
      <c r="M158">
        <f>IF(A158="","",IF(AND(F158&gt;=0.66,H158&gt;=0.66),"Yes","No"))</f>
        <v/>
      </c>
      <c r="N158">
        <f>IF(A158="","",IF(K158="Low Movement","Yes","No"))</f>
        <v/>
      </c>
      <c r="O158" s="2">
        <f>IF(L158="","",IF(L158="High Value Bundle",0.10,IF(L158="Medium Value Bundle",0.15,0.20)))</f>
        <v/>
      </c>
      <c r="P158">
        <f>IF(M158="Yes",C158&amp;"|anchor","")</f>
        <v/>
      </c>
      <c r="Q158">
        <f>IF(M158="Yes",B158,"")</f>
        <v/>
      </c>
    </row>
    <row r="159">
      <c r="A159">
        <f>Input_Data!A159</f>
        <v/>
      </c>
      <c r="B159">
        <f>Input_Data!B159</f>
        <v/>
      </c>
      <c r="C159">
        <f>Input_Data!C159</f>
        <v/>
      </c>
      <c r="D159">
        <f>IF(A159="","",SUM(Input_Data!D159:I159))</f>
        <v/>
      </c>
      <c r="E159">
        <f>IF(D159="","",D159/6)</f>
        <v/>
      </c>
      <c r="F159" s="2">
        <f>IF(D159="","",IF(COUNTA($D$2:$D$300)&lt;=1,0,PERCENTRANK.INC($D$2:$D$300,D159)))</f>
        <v/>
      </c>
      <c r="G159" s="2">
        <f>Input_Data!J159</f>
        <v/>
      </c>
      <c r="H159" s="2">
        <f>IF(G159="","",IF(COUNTA($G$2:$G$300)&lt;=1,0,PERCENTRANK.INC($G$2:$G$300,G159)))</f>
        <v/>
      </c>
      <c r="I159" s="2">
        <f>IF(F159="","",1-F159)</f>
        <v/>
      </c>
      <c r="J159" s="2">
        <f>IF(A159="","",0.6*I159+0.4*H159)</f>
        <v/>
      </c>
      <c r="K159">
        <f>IF(F159="","",IF(F159&lt;=0.33,"Low Movement",IF(F159&lt;=0.66,"Medium Movement","High Movement")))</f>
        <v/>
      </c>
      <c r="L159">
        <f>IF(J159="","",IF(J159&gt;=0.67,"High Value Bundle",IF(J159&gt;=0.34,"Medium Value Bundle","Low Value Bundle")))</f>
        <v/>
      </c>
      <c r="M159">
        <f>IF(A159="","",IF(AND(F159&gt;=0.66,H159&gt;=0.66),"Yes","No"))</f>
        <v/>
      </c>
      <c r="N159">
        <f>IF(A159="","",IF(K159="Low Movement","Yes","No"))</f>
        <v/>
      </c>
      <c r="O159" s="2">
        <f>IF(L159="","",IF(L159="High Value Bundle",0.10,IF(L159="Medium Value Bundle",0.15,0.20)))</f>
        <v/>
      </c>
      <c r="P159">
        <f>IF(M159="Yes",C159&amp;"|anchor","")</f>
        <v/>
      </c>
      <c r="Q159">
        <f>IF(M159="Yes",B159,"")</f>
        <v/>
      </c>
    </row>
    <row r="160">
      <c r="A160">
        <f>Input_Data!A160</f>
        <v/>
      </c>
      <c r="B160">
        <f>Input_Data!B160</f>
        <v/>
      </c>
      <c r="C160">
        <f>Input_Data!C160</f>
        <v/>
      </c>
      <c r="D160">
        <f>IF(A160="","",SUM(Input_Data!D160:I160))</f>
        <v/>
      </c>
      <c r="E160">
        <f>IF(D160="","",D160/6)</f>
        <v/>
      </c>
      <c r="F160" s="2">
        <f>IF(D160="","",IF(COUNTA($D$2:$D$300)&lt;=1,0,PERCENTRANK.INC($D$2:$D$300,D160)))</f>
        <v/>
      </c>
      <c r="G160" s="2">
        <f>Input_Data!J160</f>
        <v/>
      </c>
      <c r="H160" s="2">
        <f>IF(G160="","",IF(COUNTA($G$2:$G$300)&lt;=1,0,PERCENTRANK.INC($G$2:$G$300,G160)))</f>
        <v/>
      </c>
      <c r="I160" s="2">
        <f>IF(F160="","",1-F160)</f>
        <v/>
      </c>
      <c r="J160" s="2">
        <f>IF(A160="","",0.6*I160+0.4*H160)</f>
        <v/>
      </c>
      <c r="K160">
        <f>IF(F160="","",IF(F160&lt;=0.33,"Low Movement",IF(F160&lt;=0.66,"Medium Movement","High Movement")))</f>
        <v/>
      </c>
      <c r="L160">
        <f>IF(J160="","",IF(J160&gt;=0.67,"High Value Bundle",IF(J160&gt;=0.34,"Medium Value Bundle","Low Value Bundle")))</f>
        <v/>
      </c>
      <c r="M160">
        <f>IF(A160="","",IF(AND(F160&gt;=0.66,H160&gt;=0.66),"Yes","No"))</f>
        <v/>
      </c>
      <c r="N160">
        <f>IF(A160="","",IF(K160="Low Movement","Yes","No"))</f>
        <v/>
      </c>
      <c r="O160" s="2">
        <f>IF(L160="","",IF(L160="High Value Bundle",0.10,IF(L160="Medium Value Bundle",0.15,0.20)))</f>
        <v/>
      </c>
      <c r="P160">
        <f>IF(M160="Yes",C160&amp;"|anchor","")</f>
        <v/>
      </c>
      <c r="Q160">
        <f>IF(M160="Yes",B160,"")</f>
        <v/>
      </c>
    </row>
    <row r="161">
      <c r="A161">
        <f>Input_Data!A161</f>
        <v/>
      </c>
      <c r="B161">
        <f>Input_Data!B161</f>
        <v/>
      </c>
      <c r="C161">
        <f>Input_Data!C161</f>
        <v/>
      </c>
      <c r="D161">
        <f>IF(A161="","",SUM(Input_Data!D161:I161))</f>
        <v/>
      </c>
      <c r="E161">
        <f>IF(D161="","",D161/6)</f>
        <v/>
      </c>
      <c r="F161" s="2">
        <f>IF(D161="","",IF(COUNTA($D$2:$D$300)&lt;=1,0,PERCENTRANK.INC($D$2:$D$300,D161)))</f>
        <v/>
      </c>
      <c r="G161" s="2">
        <f>Input_Data!J161</f>
        <v/>
      </c>
      <c r="H161" s="2">
        <f>IF(G161="","",IF(COUNTA($G$2:$G$300)&lt;=1,0,PERCENTRANK.INC($G$2:$G$300,G161)))</f>
        <v/>
      </c>
      <c r="I161" s="2">
        <f>IF(F161="","",1-F161)</f>
        <v/>
      </c>
      <c r="J161" s="2">
        <f>IF(A161="","",0.6*I161+0.4*H161)</f>
        <v/>
      </c>
      <c r="K161">
        <f>IF(F161="","",IF(F161&lt;=0.33,"Low Movement",IF(F161&lt;=0.66,"Medium Movement","High Movement")))</f>
        <v/>
      </c>
      <c r="L161">
        <f>IF(J161="","",IF(J161&gt;=0.67,"High Value Bundle",IF(J161&gt;=0.34,"Medium Value Bundle","Low Value Bundle")))</f>
        <v/>
      </c>
      <c r="M161">
        <f>IF(A161="","",IF(AND(F161&gt;=0.66,H161&gt;=0.66),"Yes","No"))</f>
        <v/>
      </c>
      <c r="N161">
        <f>IF(A161="","",IF(K161="Low Movement","Yes","No"))</f>
        <v/>
      </c>
      <c r="O161" s="2">
        <f>IF(L161="","",IF(L161="High Value Bundle",0.10,IF(L161="Medium Value Bundle",0.15,0.20)))</f>
        <v/>
      </c>
      <c r="P161">
        <f>IF(M161="Yes",C161&amp;"|anchor","")</f>
        <v/>
      </c>
      <c r="Q161">
        <f>IF(M161="Yes",B161,"")</f>
        <v/>
      </c>
    </row>
    <row r="162">
      <c r="A162">
        <f>Input_Data!A162</f>
        <v/>
      </c>
      <c r="B162">
        <f>Input_Data!B162</f>
        <v/>
      </c>
      <c r="C162">
        <f>Input_Data!C162</f>
        <v/>
      </c>
      <c r="D162">
        <f>IF(A162="","",SUM(Input_Data!D162:I162))</f>
        <v/>
      </c>
      <c r="E162">
        <f>IF(D162="","",D162/6)</f>
        <v/>
      </c>
      <c r="F162" s="2">
        <f>IF(D162="","",IF(COUNTA($D$2:$D$300)&lt;=1,0,PERCENTRANK.INC($D$2:$D$300,D162)))</f>
        <v/>
      </c>
      <c r="G162" s="2">
        <f>Input_Data!J162</f>
        <v/>
      </c>
      <c r="H162" s="2">
        <f>IF(G162="","",IF(COUNTA($G$2:$G$300)&lt;=1,0,PERCENTRANK.INC($G$2:$G$300,G162)))</f>
        <v/>
      </c>
      <c r="I162" s="2">
        <f>IF(F162="","",1-F162)</f>
        <v/>
      </c>
      <c r="J162" s="2">
        <f>IF(A162="","",0.6*I162+0.4*H162)</f>
        <v/>
      </c>
      <c r="K162">
        <f>IF(F162="","",IF(F162&lt;=0.33,"Low Movement",IF(F162&lt;=0.66,"Medium Movement","High Movement")))</f>
        <v/>
      </c>
      <c r="L162">
        <f>IF(J162="","",IF(J162&gt;=0.67,"High Value Bundle",IF(J162&gt;=0.34,"Medium Value Bundle","Low Value Bundle")))</f>
        <v/>
      </c>
      <c r="M162">
        <f>IF(A162="","",IF(AND(F162&gt;=0.66,H162&gt;=0.66),"Yes","No"))</f>
        <v/>
      </c>
      <c r="N162">
        <f>IF(A162="","",IF(K162="Low Movement","Yes","No"))</f>
        <v/>
      </c>
      <c r="O162" s="2">
        <f>IF(L162="","",IF(L162="High Value Bundle",0.10,IF(L162="Medium Value Bundle",0.15,0.20)))</f>
        <v/>
      </c>
      <c r="P162">
        <f>IF(M162="Yes",C162&amp;"|anchor","")</f>
        <v/>
      </c>
      <c r="Q162">
        <f>IF(M162="Yes",B162,"")</f>
        <v/>
      </c>
    </row>
    <row r="163">
      <c r="A163">
        <f>Input_Data!A163</f>
        <v/>
      </c>
      <c r="B163">
        <f>Input_Data!B163</f>
        <v/>
      </c>
      <c r="C163">
        <f>Input_Data!C163</f>
        <v/>
      </c>
      <c r="D163">
        <f>IF(A163="","",SUM(Input_Data!D163:I163))</f>
        <v/>
      </c>
      <c r="E163">
        <f>IF(D163="","",D163/6)</f>
        <v/>
      </c>
      <c r="F163" s="2">
        <f>IF(D163="","",IF(COUNTA($D$2:$D$300)&lt;=1,0,PERCENTRANK.INC($D$2:$D$300,D163)))</f>
        <v/>
      </c>
      <c r="G163" s="2">
        <f>Input_Data!J163</f>
        <v/>
      </c>
      <c r="H163" s="2">
        <f>IF(G163="","",IF(COUNTA($G$2:$G$300)&lt;=1,0,PERCENTRANK.INC($G$2:$G$300,G163)))</f>
        <v/>
      </c>
      <c r="I163" s="2">
        <f>IF(F163="","",1-F163)</f>
        <v/>
      </c>
      <c r="J163" s="2">
        <f>IF(A163="","",0.6*I163+0.4*H163)</f>
        <v/>
      </c>
      <c r="K163">
        <f>IF(F163="","",IF(F163&lt;=0.33,"Low Movement",IF(F163&lt;=0.66,"Medium Movement","High Movement")))</f>
        <v/>
      </c>
      <c r="L163">
        <f>IF(J163="","",IF(J163&gt;=0.67,"High Value Bundle",IF(J163&gt;=0.34,"Medium Value Bundle","Low Value Bundle")))</f>
        <v/>
      </c>
      <c r="M163">
        <f>IF(A163="","",IF(AND(F163&gt;=0.66,H163&gt;=0.66),"Yes","No"))</f>
        <v/>
      </c>
      <c r="N163">
        <f>IF(A163="","",IF(K163="Low Movement","Yes","No"))</f>
        <v/>
      </c>
      <c r="O163" s="2">
        <f>IF(L163="","",IF(L163="High Value Bundle",0.10,IF(L163="Medium Value Bundle",0.15,0.20)))</f>
        <v/>
      </c>
      <c r="P163">
        <f>IF(M163="Yes",C163&amp;"|anchor","")</f>
        <v/>
      </c>
      <c r="Q163">
        <f>IF(M163="Yes",B163,"")</f>
        <v/>
      </c>
    </row>
    <row r="164">
      <c r="A164">
        <f>Input_Data!A164</f>
        <v/>
      </c>
      <c r="B164">
        <f>Input_Data!B164</f>
        <v/>
      </c>
      <c r="C164">
        <f>Input_Data!C164</f>
        <v/>
      </c>
      <c r="D164">
        <f>IF(A164="","",SUM(Input_Data!D164:I164))</f>
        <v/>
      </c>
      <c r="E164">
        <f>IF(D164="","",D164/6)</f>
        <v/>
      </c>
      <c r="F164" s="2">
        <f>IF(D164="","",IF(COUNTA($D$2:$D$300)&lt;=1,0,PERCENTRANK.INC($D$2:$D$300,D164)))</f>
        <v/>
      </c>
      <c r="G164" s="2">
        <f>Input_Data!J164</f>
        <v/>
      </c>
      <c r="H164" s="2">
        <f>IF(G164="","",IF(COUNTA($G$2:$G$300)&lt;=1,0,PERCENTRANK.INC($G$2:$G$300,G164)))</f>
        <v/>
      </c>
      <c r="I164" s="2">
        <f>IF(F164="","",1-F164)</f>
        <v/>
      </c>
      <c r="J164" s="2">
        <f>IF(A164="","",0.6*I164+0.4*H164)</f>
        <v/>
      </c>
      <c r="K164">
        <f>IF(F164="","",IF(F164&lt;=0.33,"Low Movement",IF(F164&lt;=0.66,"Medium Movement","High Movement")))</f>
        <v/>
      </c>
      <c r="L164">
        <f>IF(J164="","",IF(J164&gt;=0.67,"High Value Bundle",IF(J164&gt;=0.34,"Medium Value Bundle","Low Value Bundle")))</f>
        <v/>
      </c>
      <c r="M164">
        <f>IF(A164="","",IF(AND(F164&gt;=0.66,H164&gt;=0.66),"Yes","No"))</f>
        <v/>
      </c>
      <c r="N164">
        <f>IF(A164="","",IF(K164="Low Movement","Yes","No"))</f>
        <v/>
      </c>
      <c r="O164" s="2">
        <f>IF(L164="","",IF(L164="High Value Bundle",0.10,IF(L164="Medium Value Bundle",0.15,0.20)))</f>
        <v/>
      </c>
      <c r="P164">
        <f>IF(M164="Yes",C164&amp;"|anchor","")</f>
        <v/>
      </c>
      <c r="Q164">
        <f>IF(M164="Yes",B164,"")</f>
        <v/>
      </c>
    </row>
    <row r="165">
      <c r="A165">
        <f>Input_Data!A165</f>
        <v/>
      </c>
      <c r="B165">
        <f>Input_Data!B165</f>
        <v/>
      </c>
      <c r="C165">
        <f>Input_Data!C165</f>
        <v/>
      </c>
      <c r="D165">
        <f>IF(A165="","",SUM(Input_Data!D165:I165))</f>
        <v/>
      </c>
      <c r="E165">
        <f>IF(D165="","",D165/6)</f>
        <v/>
      </c>
      <c r="F165" s="2">
        <f>IF(D165="","",IF(COUNTA($D$2:$D$300)&lt;=1,0,PERCENTRANK.INC($D$2:$D$300,D165)))</f>
        <v/>
      </c>
      <c r="G165" s="2">
        <f>Input_Data!J165</f>
        <v/>
      </c>
      <c r="H165" s="2">
        <f>IF(G165="","",IF(COUNTA($G$2:$G$300)&lt;=1,0,PERCENTRANK.INC($G$2:$G$300,G165)))</f>
        <v/>
      </c>
      <c r="I165" s="2">
        <f>IF(F165="","",1-F165)</f>
        <v/>
      </c>
      <c r="J165" s="2">
        <f>IF(A165="","",0.6*I165+0.4*H165)</f>
        <v/>
      </c>
      <c r="K165">
        <f>IF(F165="","",IF(F165&lt;=0.33,"Low Movement",IF(F165&lt;=0.66,"Medium Movement","High Movement")))</f>
        <v/>
      </c>
      <c r="L165">
        <f>IF(J165="","",IF(J165&gt;=0.67,"High Value Bundle",IF(J165&gt;=0.34,"Medium Value Bundle","Low Value Bundle")))</f>
        <v/>
      </c>
      <c r="M165">
        <f>IF(A165="","",IF(AND(F165&gt;=0.66,H165&gt;=0.66),"Yes","No"))</f>
        <v/>
      </c>
      <c r="N165">
        <f>IF(A165="","",IF(K165="Low Movement","Yes","No"))</f>
        <v/>
      </c>
      <c r="O165" s="2">
        <f>IF(L165="","",IF(L165="High Value Bundle",0.10,IF(L165="Medium Value Bundle",0.15,0.20)))</f>
        <v/>
      </c>
      <c r="P165">
        <f>IF(M165="Yes",C165&amp;"|anchor","")</f>
        <v/>
      </c>
      <c r="Q165">
        <f>IF(M165="Yes",B165,"")</f>
        <v/>
      </c>
    </row>
    <row r="166">
      <c r="A166">
        <f>Input_Data!A166</f>
        <v/>
      </c>
      <c r="B166">
        <f>Input_Data!B166</f>
        <v/>
      </c>
      <c r="C166">
        <f>Input_Data!C166</f>
        <v/>
      </c>
      <c r="D166">
        <f>IF(A166="","",SUM(Input_Data!D166:I166))</f>
        <v/>
      </c>
      <c r="E166">
        <f>IF(D166="","",D166/6)</f>
        <v/>
      </c>
      <c r="F166" s="2">
        <f>IF(D166="","",IF(COUNTA($D$2:$D$300)&lt;=1,0,PERCENTRANK.INC($D$2:$D$300,D166)))</f>
        <v/>
      </c>
      <c r="G166" s="2">
        <f>Input_Data!J166</f>
        <v/>
      </c>
      <c r="H166" s="2">
        <f>IF(G166="","",IF(COUNTA($G$2:$G$300)&lt;=1,0,PERCENTRANK.INC($G$2:$G$300,G166)))</f>
        <v/>
      </c>
      <c r="I166" s="2">
        <f>IF(F166="","",1-F166)</f>
        <v/>
      </c>
      <c r="J166" s="2">
        <f>IF(A166="","",0.6*I166+0.4*H166)</f>
        <v/>
      </c>
      <c r="K166">
        <f>IF(F166="","",IF(F166&lt;=0.33,"Low Movement",IF(F166&lt;=0.66,"Medium Movement","High Movement")))</f>
        <v/>
      </c>
      <c r="L166">
        <f>IF(J166="","",IF(J166&gt;=0.67,"High Value Bundle",IF(J166&gt;=0.34,"Medium Value Bundle","Low Value Bundle")))</f>
        <v/>
      </c>
      <c r="M166">
        <f>IF(A166="","",IF(AND(F166&gt;=0.66,H166&gt;=0.66),"Yes","No"))</f>
        <v/>
      </c>
      <c r="N166">
        <f>IF(A166="","",IF(K166="Low Movement","Yes","No"))</f>
        <v/>
      </c>
      <c r="O166" s="2">
        <f>IF(L166="","",IF(L166="High Value Bundle",0.10,IF(L166="Medium Value Bundle",0.15,0.20)))</f>
        <v/>
      </c>
      <c r="P166">
        <f>IF(M166="Yes",C166&amp;"|anchor","")</f>
        <v/>
      </c>
      <c r="Q166">
        <f>IF(M166="Yes",B166,"")</f>
        <v/>
      </c>
    </row>
    <row r="167">
      <c r="A167">
        <f>Input_Data!A167</f>
        <v/>
      </c>
      <c r="B167">
        <f>Input_Data!B167</f>
        <v/>
      </c>
      <c r="C167">
        <f>Input_Data!C167</f>
        <v/>
      </c>
      <c r="D167">
        <f>IF(A167="","",SUM(Input_Data!D167:I167))</f>
        <v/>
      </c>
      <c r="E167">
        <f>IF(D167="","",D167/6)</f>
        <v/>
      </c>
      <c r="F167" s="2">
        <f>IF(D167="","",IF(COUNTA($D$2:$D$300)&lt;=1,0,PERCENTRANK.INC($D$2:$D$300,D167)))</f>
        <v/>
      </c>
      <c r="G167" s="2">
        <f>Input_Data!J167</f>
        <v/>
      </c>
      <c r="H167" s="2">
        <f>IF(G167="","",IF(COUNTA($G$2:$G$300)&lt;=1,0,PERCENTRANK.INC($G$2:$G$300,G167)))</f>
        <v/>
      </c>
      <c r="I167" s="2">
        <f>IF(F167="","",1-F167)</f>
        <v/>
      </c>
      <c r="J167" s="2">
        <f>IF(A167="","",0.6*I167+0.4*H167)</f>
        <v/>
      </c>
      <c r="K167">
        <f>IF(F167="","",IF(F167&lt;=0.33,"Low Movement",IF(F167&lt;=0.66,"Medium Movement","High Movement")))</f>
        <v/>
      </c>
      <c r="L167">
        <f>IF(J167="","",IF(J167&gt;=0.67,"High Value Bundle",IF(J167&gt;=0.34,"Medium Value Bundle","Low Value Bundle")))</f>
        <v/>
      </c>
      <c r="M167">
        <f>IF(A167="","",IF(AND(F167&gt;=0.66,H167&gt;=0.66),"Yes","No"))</f>
        <v/>
      </c>
      <c r="N167">
        <f>IF(A167="","",IF(K167="Low Movement","Yes","No"))</f>
        <v/>
      </c>
      <c r="O167" s="2">
        <f>IF(L167="","",IF(L167="High Value Bundle",0.10,IF(L167="Medium Value Bundle",0.15,0.20)))</f>
        <v/>
      </c>
      <c r="P167">
        <f>IF(M167="Yes",C167&amp;"|anchor","")</f>
        <v/>
      </c>
      <c r="Q167">
        <f>IF(M167="Yes",B167,"")</f>
        <v/>
      </c>
    </row>
    <row r="168">
      <c r="A168">
        <f>Input_Data!A168</f>
        <v/>
      </c>
      <c r="B168">
        <f>Input_Data!B168</f>
        <v/>
      </c>
      <c r="C168">
        <f>Input_Data!C168</f>
        <v/>
      </c>
      <c r="D168">
        <f>IF(A168="","",SUM(Input_Data!D168:I168))</f>
        <v/>
      </c>
      <c r="E168">
        <f>IF(D168="","",D168/6)</f>
        <v/>
      </c>
      <c r="F168" s="2">
        <f>IF(D168="","",IF(COUNTA($D$2:$D$300)&lt;=1,0,PERCENTRANK.INC($D$2:$D$300,D168)))</f>
        <v/>
      </c>
      <c r="G168" s="2">
        <f>Input_Data!J168</f>
        <v/>
      </c>
      <c r="H168" s="2">
        <f>IF(G168="","",IF(COUNTA($G$2:$G$300)&lt;=1,0,PERCENTRANK.INC($G$2:$G$300,G168)))</f>
        <v/>
      </c>
      <c r="I168" s="2">
        <f>IF(F168="","",1-F168)</f>
        <v/>
      </c>
      <c r="J168" s="2">
        <f>IF(A168="","",0.6*I168+0.4*H168)</f>
        <v/>
      </c>
      <c r="K168">
        <f>IF(F168="","",IF(F168&lt;=0.33,"Low Movement",IF(F168&lt;=0.66,"Medium Movement","High Movement")))</f>
        <v/>
      </c>
      <c r="L168">
        <f>IF(J168="","",IF(J168&gt;=0.67,"High Value Bundle",IF(J168&gt;=0.34,"Medium Value Bundle","Low Value Bundle")))</f>
        <v/>
      </c>
      <c r="M168">
        <f>IF(A168="","",IF(AND(F168&gt;=0.66,H168&gt;=0.66),"Yes","No"))</f>
        <v/>
      </c>
      <c r="N168">
        <f>IF(A168="","",IF(K168="Low Movement","Yes","No"))</f>
        <v/>
      </c>
      <c r="O168" s="2">
        <f>IF(L168="","",IF(L168="High Value Bundle",0.10,IF(L168="Medium Value Bundle",0.15,0.20)))</f>
        <v/>
      </c>
      <c r="P168">
        <f>IF(M168="Yes",C168&amp;"|anchor","")</f>
        <v/>
      </c>
      <c r="Q168">
        <f>IF(M168="Yes",B168,"")</f>
        <v/>
      </c>
    </row>
    <row r="169">
      <c r="A169">
        <f>Input_Data!A169</f>
        <v/>
      </c>
      <c r="B169">
        <f>Input_Data!B169</f>
        <v/>
      </c>
      <c r="C169">
        <f>Input_Data!C169</f>
        <v/>
      </c>
      <c r="D169">
        <f>IF(A169="","",SUM(Input_Data!D169:I169))</f>
        <v/>
      </c>
      <c r="E169">
        <f>IF(D169="","",D169/6)</f>
        <v/>
      </c>
      <c r="F169" s="2">
        <f>IF(D169="","",IF(COUNTA($D$2:$D$300)&lt;=1,0,PERCENTRANK.INC($D$2:$D$300,D169)))</f>
        <v/>
      </c>
      <c r="G169" s="2">
        <f>Input_Data!J169</f>
        <v/>
      </c>
      <c r="H169" s="2">
        <f>IF(G169="","",IF(COUNTA($G$2:$G$300)&lt;=1,0,PERCENTRANK.INC($G$2:$G$300,G169)))</f>
        <v/>
      </c>
      <c r="I169" s="2">
        <f>IF(F169="","",1-F169)</f>
        <v/>
      </c>
      <c r="J169" s="2">
        <f>IF(A169="","",0.6*I169+0.4*H169)</f>
        <v/>
      </c>
      <c r="K169">
        <f>IF(F169="","",IF(F169&lt;=0.33,"Low Movement",IF(F169&lt;=0.66,"Medium Movement","High Movement")))</f>
        <v/>
      </c>
      <c r="L169">
        <f>IF(J169="","",IF(J169&gt;=0.67,"High Value Bundle",IF(J169&gt;=0.34,"Medium Value Bundle","Low Value Bundle")))</f>
        <v/>
      </c>
      <c r="M169">
        <f>IF(A169="","",IF(AND(F169&gt;=0.66,H169&gt;=0.66),"Yes","No"))</f>
        <v/>
      </c>
      <c r="N169">
        <f>IF(A169="","",IF(K169="Low Movement","Yes","No"))</f>
        <v/>
      </c>
      <c r="O169" s="2">
        <f>IF(L169="","",IF(L169="High Value Bundle",0.10,IF(L169="Medium Value Bundle",0.15,0.20)))</f>
        <v/>
      </c>
      <c r="P169">
        <f>IF(M169="Yes",C169&amp;"|anchor","")</f>
        <v/>
      </c>
      <c r="Q169">
        <f>IF(M169="Yes",B169,"")</f>
        <v/>
      </c>
    </row>
    <row r="170">
      <c r="A170">
        <f>Input_Data!A170</f>
        <v/>
      </c>
      <c r="B170">
        <f>Input_Data!B170</f>
        <v/>
      </c>
      <c r="C170">
        <f>Input_Data!C170</f>
        <v/>
      </c>
      <c r="D170">
        <f>IF(A170="","",SUM(Input_Data!D170:I170))</f>
        <v/>
      </c>
      <c r="E170">
        <f>IF(D170="","",D170/6)</f>
        <v/>
      </c>
      <c r="F170" s="2">
        <f>IF(D170="","",IF(COUNTA($D$2:$D$300)&lt;=1,0,PERCENTRANK.INC($D$2:$D$300,D170)))</f>
        <v/>
      </c>
      <c r="G170" s="2">
        <f>Input_Data!J170</f>
        <v/>
      </c>
      <c r="H170" s="2">
        <f>IF(G170="","",IF(COUNTA($G$2:$G$300)&lt;=1,0,PERCENTRANK.INC($G$2:$G$300,G170)))</f>
        <v/>
      </c>
      <c r="I170" s="2">
        <f>IF(F170="","",1-F170)</f>
        <v/>
      </c>
      <c r="J170" s="2">
        <f>IF(A170="","",0.6*I170+0.4*H170)</f>
        <v/>
      </c>
      <c r="K170">
        <f>IF(F170="","",IF(F170&lt;=0.33,"Low Movement",IF(F170&lt;=0.66,"Medium Movement","High Movement")))</f>
        <v/>
      </c>
      <c r="L170">
        <f>IF(J170="","",IF(J170&gt;=0.67,"High Value Bundle",IF(J170&gt;=0.34,"Medium Value Bundle","Low Value Bundle")))</f>
        <v/>
      </c>
      <c r="M170">
        <f>IF(A170="","",IF(AND(F170&gt;=0.66,H170&gt;=0.66),"Yes","No"))</f>
        <v/>
      </c>
      <c r="N170">
        <f>IF(A170="","",IF(K170="Low Movement","Yes","No"))</f>
        <v/>
      </c>
      <c r="O170" s="2">
        <f>IF(L170="","",IF(L170="High Value Bundle",0.10,IF(L170="Medium Value Bundle",0.15,0.20)))</f>
        <v/>
      </c>
      <c r="P170">
        <f>IF(M170="Yes",C170&amp;"|anchor","")</f>
        <v/>
      </c>
      <c r="Q170">
        <f>IF(M170="Yes",B170,"")</f>
        <v/>
      </c>
    </row>
    <row r="171">
      <c r="A171">
        <f>Input_Data!A171</f>
        <v/>
      </c>
      <c r="B171">
        <f>Input_Data!B171</f>
        <v/>
      </c>
      <c r="C171">
        <f>Input_Data!C171</f>
        <v/>
      </c>
      <c r="D171">
        <f>IF(A171="","",SUM(Input_Data!D171:I171))</f>
        <v/>
      </c>
      <c r="E171">
        <f>IF(D171="","",D171/6)</f>
        <v/>
      </c>
      <c r="F171" s="2">
        <f>IF(D171="","",IF(COUNTA($D$2:$D$300)&lt;=1,0,PERCENTRANK.INC($D$2:$D$300,D171)))</f>
        <v/>
      </c>
      <c r="G171" s="2">
        <f>Input_Data!J171</f>
        <v/>
      </c>
      <c r="H171" s="2">
        <f>IF(G171="","",IF(COUNTA($G$2:$G$300)&lt;=1,0,PERCENTRANK.INC($G$2:$G$300,G171)))</f>
        <v/>
      </c>
      <c r="I171" s="2">
        <f>IF(F171="","",1-F171)</f>
        <v/>
      </c>
      <c r="J171" s="2">
        <f>IF(A171="","",0.6*I171+0.4*H171)</f>
        <v/>
      </c>
      <c r="K171">
        <f>IF(F171="","",IF(F171&lt;=0.33,"Low Movement",IF(F171&lt;=0.66,"Medium Movement","High Movement")))</f>
        <v/>
      </c>
      <c r="L171">
        <f>IF(J171="","",IF(J171&gt;=0.67,"High Value Bundle",IF(J171&gt;=0.34,"Medium Value Bundle","Low Value Bundle")))</f>
        <v/>
      </c>
      <c r="M171">
        <f>IF(A171="","",IF(AND(F171&gt;=0.66,H171&gt;=0.66),"Yes","No"))</f>
        <v/>
      </c>
      <c r="N171">
        <f>IF(A171="","",IF(K171="Low Movement","Yes","No"))</f>
        <v/>
      </c>
      <c r="O171" s="2">
        <f>IF(L171="","",IF(L171="High Value Bundle",0.10,IF(L171="Medium Value Bundle",0.15,0.20)))</f>
        <v/>
      </c>
      <c r="P171">
        <f>IF(M171="Yes",C171&amp;"|anchor","")</f>
        <v/>
      </c>
      <c r="Q171">
        <f>IF(M171="Yes",B171,"")</f>
        <v/>
      </c>
    </row>
    <row r="172">
      <c r="A172">
        <f>Input_Data!A172</f>
        <v/>
      </c>
      <c r="B172">
        <f>Input_Data!B172</f>
        <v/>
      </c>
      <c r="C172">
        <f>Input_Data!C172</f>
        <v/>
      </c>
      <c r="D172">
        <f>IF(A172="","",SUM(Input_Data!D172:I172))</f>
        <v/>
      </c>
      <c r="E172">
        <f>IF(D172="","",D172/6)</f>
        <v/>
      </c>
      <c r="F172" s="2">
        <f>IF(D172="","",IF(COUNTA($D$2:$D$300)&lt;=1,0,PERCENTRANK.INC($D$2:$D$300,D172)))</f>
        <v/>
      </c>
      <c r="G172" s="2">
        <f>Input_Data!J172</f>
        <v/>
      </c>
      <c r="H172" s="2">
        <f>IF(G172="","",IF(COUNTA($G$2:$G$300)&lt;=1,0,PERCENTRANK.INC($G$2:$G$300,G172)))</f>
        <v/>
      </c>
      <c r="I172" s="2">
        <f>IF(F172="","",1-F172)</f>
        <v/>
      </c>
      <c r="J172" s="2">
        <f>IF(A172="","",0.6*I172+0.4*H172)</f>
        <v/>
      </c>
      <c r="K172">
        <f>IF(F172="","",IF(F172&lt;=0.33,"Low Movement",IF(F172&lt;=0.66,"Medium Movement","High Movement")))</f>
        <v/>
      </c>
      <c r="L172">
        <f>IF(J172="","",IF(J172&gt;=0.67,"High Value Bundle",IF(J172&gt;=0.34,"Medium Value Bundle","Low Value Bundle")))</f>
        <v/>
      </c>
      <c r="M172">
        <f>IF(A172="","",IF(AND(F172&gt;=0.66,H172&gt;=0.66),"Yes","No"))</f>
        <v/>
      </c>
      <c r="N172">
        <f>IF(A172="","",IF(K172="Low Movement","Yes","No"))</f>
        <v/>
      </c>
      <c r="O172" s="2">
        <f>IF(L172="","",IF(L172="High Value Bundle",0.10,IF(L172="Medium Value Bundle",0.15,0.20)))</f>
        <v/>
      </c>
      <c r="P172">
        <f>IF(M172="Yes",C172&amp;"|anchor","")</f>
        <v/>
      </c>
      <c r="Q172">
        <f>IF(M172="Yes",B172,"")</f>
        <v/>
      </c>
    </row>
    <row r="173">
      <c r="A173">
        <f>Input_Data!A173</f>
        <v/>
      </c>
      <c r="B173">
        <f>Input_Data!B173</f>
        <v/>
      </c>
      <c r="C173">
        <f>Input_Data!C173</f>
        <v/>
      </c>
      <c r="D173">
        <f>IF(A173="","",SUM(Input_Data!D173:I173))</f>
        <v/>
      </c>
      <c r="E173">
        <f>IF(D173="","",D173/6)</f>
        <v/>
      </c>
      <c r="F173" s="2">
        <f>IF(D173="","",IF(COUNTA($D$2:$D$300)&lt;=1,0,PERCENTRANK.INC($D$2:$D$300,D173)))</f>
        <v/>
      </c>
      <c r="G173" s="2">
        <f>Input_Data!J173</f>
        <v/>
      </c>
      <c r="H173" s="2">
        <f>IF(G173="","",IF(COUNTA($G$2:$G$300)&lt;=1,0,PERCENTRANK.INC($G$2:$G$300,G173)))</f>
        <v/>
      </c>
      <c r="I173" s="2">
        <f>IF(F173="","",1-F173)</f>
        <v/>
      </c>
      <c r="J173" s="2">
        <f>IF(A173="","",0.6*I173+0.4*H173)</f>
        <v/>
      </c>
      <c r="K173">
        <f>IF(F173="","",IF(F173&lt;=0.33,"Low Movement",IF(F173&lt;=0.66,"Medium Movement","High Movement")))</f>
        <v/>
      </c>
      <c r="L173">
        <f>IF(J173="","",IF(J173&gt;=0.67,"High Value Bundle",IF(J173&gt;=0.34,"Medium Value Bundle","Low Value Bundle")))</f>
        <v/>
      </c>
      <c r="M173">
        <f>IF(A173="","",IF(AND(F173&gt;=0.66,H173&gt;=0.66),"Yes","No"))</f>
        <v/>
      </c>
      <c r="N173">
        <f>IF(A173="","",IF(K173="Low Movement","Yes","No"))</f>
        <v/>
      </c>
      <c r="O173" s="2">
        <f>IF(L173="","",IF(L173="High Value Bundle",0.10,IF(L173="Medium Value Bundle",0.15,0.20)))</f>
        <v/>
      </c>
      <c r="P173">
        <f>IF(M173="Yes",C173&amp;"|anchor","")</f>
        <v/>
      </c>
      <c r="Q173">
        <f>IF(M173="Yes",B173,"")</f>
        <v/>
      </c>
    </row>
    <row r="174">
      <c r="A174">
        <f>Input_Data!A174</f>
        <v/>
      </c>
      <c r="B174">
        <f>Input_Data!B174</f>
        <v/>
      </c>
      <c r="C174">
        <f>Input_Data!C174</f>
        <v/>
      </c>
      <c r="D174">
        <f>IF(A174="","",SUM(Input_Data!D174:I174))</f>
        <v/>
      </c>
      <c r="E174">
        <f>IF(D174="","",D174/6)</f>
        <v/>
      </c>
      <c r="F174" s="2">
        <f>IF(D174="","",IF(COUNTA($D$2:$D$300)&lt;=1,0,PERCENTRANK.INC($D$2:$D$300,D174)))</f>
        <v/>
      </c>
      <c r="G174" s="2">
        <f>Input_Data!J174</f>
        <v/>
      </c>
      <c r="H174" s="2">
        <f>IF(G174="","",IF(COUNTA($G$2:$G$300)&lt;=1,0,PERCENTRANK.INC($G$2:$G$300,G174)))</f>
        <v/>
      </c>
      <c r="I174" s="2">
        <f>IF(F174="","",1-F174)</f>
        <v/>
      </c>
      <c r="J174" s="2">
        <f>IF(A174="","",0.6*I174+0.4*H174)</f>
        <v/>
      </c>
      <c r="K174">
        <f>IF(F174="","",IF(F174&lt;=0.33,"Low Movement",IF(F174&lt;=0.66,"Medium Movement","High Movement")))</f>
        <v/>
      </c>
      <c r="L174">
        <f>IF(J174="","",IF(J174&gt;=0.67,"High Value Bundle",IF(J174&gt;=0.34,"Medium Value Bundle","Low Value Bundle")))</f>
        <v/>
      </c>
      <c r="M174">
        <f>IF(A174="","",IF(AND(F174&gt;=0.66,H174&gt;=0.66),"Yes","No"))</f>
        <v/>
      </c>
      <c r="N174">
        <f>IF(A174="","",IF(K174="Low Movement","Yes","No"))</f>
        <v/>
      </c>
      <c r="O174" s="2">
        <f>IF(L174="","",IF(L174="High Value Bundle",0.10,IF(L174="Medium Value Bundle",0.15,0.20)))</f>
        <v/>
      </c>
      <c r="P174">
        <f>IF(M174="Yes",C174&amp;"|anchor","")</f>
        <v/>
      </c>
      <c r="Q174">
        <f>IF(M174="Yes",B174,"")</f>
        <v/>
      </c>
    </row>
    <row r="175">
      <c r="A175">
        <f>Input_Data!A175</f>
        <v/>
      </c>
      <c r="B175">
        <f>Input_Data!B175</f>
        <v/>
      </c>
      <c r="C175">
        <f>Input_Data!C175</f>
        <v/>
      </c>
      <c r="D175">
        <f>IF(A175="","",SUM(Input_Data!D175:I175))</f>
        <v/>
      </c>
      <c r="E175">
        <f>IF(D175="","",D175/6)</f>
        <v/>
      </c>
      <c r="F175" s="2">
        <f>IF(D175="","",IF(COUNTA($D$2:$D$300)&lt;=1,0,PERCENTRANK.INC($D$2:$D$300,D175)))</f>
        <v/>
      </c>
      <c r="G175" s="2">
        <f>Input_Data!J175</f>
        <v/>
      </c>
      <c r="H175" s="2">
        <f>IF(G175="","",IF(COUNTA($G$2:$G$300)&lt;=1,0,PERCENTRANK.INC($G$2:$G$300,G175)))</f>
        <v/>
      </c>
      <c r="I175" s="2">
        <f>IF(F175="","",1-F175)</f>
        <v/>
      </c>
      <c r="J175" s="2">
        <f>IF(A175="","",0.6*I175+0.4*H175)</f>
        <v/>
      </c>
      <c r="K175">
        <f>IF(F175="","",IF(F175&lt;=0.33,"Low Movement",IF(F175&lt;=0.66,"Medium Movement","High Movement")))</f>
        <v/>
      </c>
      <c r="L175">
        <f>IF(J175="","",IF(J175&gt;=0.67,"High Value Bundle",IF(J175&gt;=0.34,"Medium Value Bundle","Low Value Bundle")))</f>
        <v/>
      </c>
      <c r="M175">
        <f>IF(A175="","",IF(AND(F175&gt;=0.66,H175&gt;=0.66),"Yes","No"))</f>
        <v/>
      </c>
      <c r="N175">
        <f>IF(A175="","",IF(K175="Low Movement","Yes","No"))</f>
        <v/>
      </c>
      <c r="O175" s="2">
        <f>IF(L175="","",IF(L175="High Value Bundle",0.10,IF(L175="Medium Value Bundle",0.15,0.20)))</f>
        <v/>
      </c>
      <c r="P175">
        <f>IF(M175="Yes",C175&amp;"|anchor","")</f>
        <v/>
      </c>
      <c r="Q175">
        <f>IF(M175="Yes",B175,"")</f>
        <v/>
      </c>
    </row>
    <row r="176">
      <c r="A176">
        <f>Input_Data!A176</f>
        <v/>
      </c>
      <c r="B176">
        <f>Input_Data!B176</f>
        <v/>
      </c>
      <c r="C176">
        <f>Input_Data!C176</f>
        <v/>
      </c>
      <c r="D176">
        <f>IF(A176="","",SUM(Input_Data!D176:I176))</f>
        <v/>
      </c>
      <c r="E176">
        <f>IF(D176="","",D176/6)</f>
        <v/>
      </c>
      <c r="F176" s="2">
        <f>IF(D176="","",IF(COUNTA($D$2:$D$300)&lt;=1,0,PERCENTRANK.INC($D$2:$D$300,D176)))</f>
        <v/>
      </c>
      <c r="G176" s="2">
        <f>Input_Data!J176</f>
        <v/>
      </c>
      <c r="H176" s="2">
        <f>IF(G176="","",IF(COUNTA($G$2:$G$300)&lt;=1,0,PERCENTRANK.INC($G$2:$G$300,G176)))</f>
        <v/>
      </c>
      <c r="I176" s="2">
        <f>IF(F176="","",1-F176)</f>
        <v/>
      </c>
      <c r="J176" s="2">
        <f>IF(A176="","",0.6*I176+0.4*H176)</f>
        <v/>
      </c>
      <c r="K176">
        <f>IF(F176="","",IF(F176&lt;=0.33,"Low Movement",IF(F176&lt;=0.66,"Medium Movement","High Movement")))</f>
        <v/>
      </c>
      <c r="L176">
        <f>IF(J176="","",IF(J176&gt;=0.67,"High Value Bundle",IF(J176&gt;=0.34,"Medium Value Bundle","Low Value Bundle")))</f>
        <v/>
      </c>
      <c r="M176">
        <f>IF(A176="","",IF(AND(F176&gt;=0.66,H176&gt;=0.66),"Yes","No"))</f>
        <v/>
      </c>
      <c r="N176">
        <f>IF(A176="","",IF(K176="Low Movement","Yes","No"))</f>
        <v/>
      </c>
      <c r="O176" s="2">
        <f>IF(L176="","",IF(L176="High Value Bundle",0.10,IF(L176="Medium Value Bundle",0.15,0.20)))</f>
        <v/>
      </c>
      <c r="P176">
        <f>IF(M176="Yes",C176&amp;"|anchor","")</f>
        <v/>
      </c>
      <c r="Q176">
        <f>IF(M176="Yes",B176,"")</f>
        <v/>
      </c>
    </row>
    <row r="177">
      <c r="A177">
        <f>Input_Data!A177</f>
        <v/>
      </c>
      <c r="B177">
        <f>Input_Data!B177</f>
        <v/>
      </c>
      <c r="C177">
        <f>Input_Data!C177</f>
        <v/>
      </c>
      <c r="D177">
        <f>IF(A177="","",SUM(Input_Data!D177:I177))</f>
        <v/>
      </c>
      <c r="E177">
        <f>IF(D177="","",D177/6)</f>
        <v/>
      </c>
      <c r="F177" s="2">
        <f>IF(D177="","",IF(COUNTA($D$2:$D$300)&lt;=1,0,PERCENTRANK.INC($D$2:$D$300,D177)))</f>
        <v/>
      </c>
      <c r="G177" s="2">
        <f>Input_Data!J177</f>
        <v/>
      </c>
      <c r="H177" s="2">
        <f>IF(G177="","",IF(COUNTA($G$2:$G$300)&lt;=1,0,PERCENTRANK.INC($G$2:$G$300,G177)))</f>
        <v/>
      </c>
      <c r="I177" s="2">
        <f>IF(F177="","",1-F177)</f>
        <v/>
      </c>
      <c r="J177" s="2">
        <f>IF(A177="","",0.6*I177+0.4*H177)</f>
        <v/>
      </c>
      <c r="K177">
        <f>IF(F177="","",IF(F177&lt;=0.33,"Low Movement",IF(F177&lt;=0.66,"Medium Movement","High Movement")))</f>
        <v/>
      </c>
      <c r="L177">
        <f>IF(J177="","",IF(J177&gt;=0.67,"High Value Bundle",IF(J177&gt;=0.34,"Medium Value Bundle","Low Value Bundle")))</f>
        <v/>
      </c>
      <c r="M177">
        <f>IF(A177="","",IF(AND(F177&gt;=0.66,H177&gt;=0.66),"Yes","No"))</f>
        <v/>
      </c>
      <c r="N177">
        <f>IF(A177="","",IF(K177="Low Movement","Yes","No"))</f>
        <v/>
      </c>
      <c r="O177" s="2">
        <f>IF(L177="","",IF(L177="High Value Bundle",0.10,IF(L177="Medium Value Bundle",0.15,0.20)))</f>
        <v/>
      </c>
      <c r="P177">
        <f>IF(M177="Yes",C177&amp;"|anchor","")</f>
        <v/>
      </c>
      <c r="Q177">
        <f>IF(M177="Yes",B177,"")</f>
        <v/>
      </c>
    </row>
    <row r="178">
      <c r="A178">
        <f>Input_Data!A178</f>
        <v/>
      </c>
      <c r="B178">
        <f>Input_Data!B178</f>
        <v/>
      </c>
      <c r="C178">
        <f>Input_Data!C178</f>
        <v/>
      </c>
      <c r="D178">
        <f>IF(A178="","",SUM(Input_Data!D178:I178))</f>
        <v/>
      </c>
      <c r="E178">
        <f>IF(D178="","",D178/6)</f>
        <v/>
      </c>
      <c r="F178" s="2">
        <f>IF(D178="","",IF(COUNTA($D$2:$D$300)&lt;=1,0,PERCENTRANK.INC($D$2:$D$300,D178)))</f>
        <v/>
      </c>
      <c r="G178" s="2">
        <f>Input_Data!J178</f>
        <v/>
      </c>
      <c r="H178" s="2">
        <f>IF(G178="","",IF(COUNTA($G$2:$G$300)&lt;=1,0,PERCENTRANK.INC($G$2:$G$300,G178)))</f>
        <v/>
      </c>
      <c r="I178" s="2">
        <f>IF(F178="","",1-F178)</f>
        <v/>
      </c>
      <c r="J178" s="2">
        <f>IF(A178="","",0.6*I178+0.4*H178)</f>
        <v/>
      </c>
      <c r="K178">
        <f>IF(F178="","",IF(F178&lt;=0.33,"Low Movement",IF(F178&lt;=0.66,"Medium Movement","High Movement")))</f>
        <v/>
      </c>
      <c r="L178">
        <f>IF(J178="","",IF(J178&gt;=0.67,"High Value Bundle",IF(J178&gt;=0.34,"Medium Value Bundle","Low Value Bundle")))</f>
        <v/>
      </c>
      <c r="M178">
        <f>IF(A178="","",IF(AND(F178&gt;=0.66,H178&gt;=0.66),"Yes","No"))</f>
        <v/>
      </c>
      <c r="N178">
        <f>IF(A178="","",IF(K178="Low Movement","Yes","No"))</f>
        <v/>
      </c>
      <c r="O178" s="2">
        <f>IF(L178="","",IF(L178="High Value Bundle",0.10,IF(L178="Medium Value Bundle",0.15,0.20)))</f>
        <v/>
      </c>
      <c r="P178">
        <f>IF(M178="Yes",C178&amp;"|anchor","")</f>
        <v/>
      </c>
      <c r="Q178">
        <f>IF(M178="Yes",B178,"")</f>
        <v/>
      </c>
    </row>
    <row r="179">
      <c r="A179">
        <f>Input_Data!A179</f>
        <v/>
      </c>
      <c r="B179">
        <f>Input_Data!B179</f>
        <v/>
      </c>
      <c r="C179">
        <f>Input_Data!C179</f>
        <v/>
      </c>
      <c r="D179">
        <f>IF(A179="","",SUM(Input_Data!D179:I179))</f>
        <v/>
      </c>
      <c r="E179">
        <f>IF(D179="","",D179/6)</f>
        <v/>
      </c>
      <c r="F179" s="2">
        <f>IF(D179="","",IF(COUNTA($D$2:$D$300)&lt;=1,0,PERCENTRANK.INC($D$2:$D$300,D179)))</f>
        <v/>
      </c>
      <c r="G179" s="2">
        <f>Input_Data!J179</f>
        <v/>
      </c>
      <c r="H179" s="2">
        <f>IF(G179="","",IF(COUNTA($G$2:$G$300)&lt;=1,0,PERCENTRANK.INC($G$2:$G$300,G179)))</f>
        <v/>
      </c>
      <c r="I179" s="2">
        <f>IF(F179="","",1-F179)</f>
        <v/>
      </c>
      <c r="J179" s="2">
        <f>IF(A179="","",0.6*I179+0.4*H179)</f>
        <v/>
      </c>
      <c r="K179">
        <f>IF(F179="","",IF(F179&lt;=0.33,"Low Movement",IF(F179&lt;=0.66,"Medium Movement","High Movement")))</f>
        <v/>
      </c>
      <c r="L179">
        <f>IF(J179="","",IF(J179&gt;=0.67,"High Value Bundle",IF(J179&gt;=0.34,"Medium Value Bundle","Low Value Bundle")))</f>
        <v/>
      </c>
      <c r="M179">
        <f>IF(A179="","",IF(AND(F179&gt;=0.66,H179&gt;=0.66),"Yes","No"))</f>
        <v/>
      </c>
      <c r="N179">
        <f>IF(A179="","",IF(K179="Low Movement","Yes","No"))</f>
        <v/>
      </c>
      <c r="O179" s="2">
        <f>IF(L179="","",IF(L179="High Value Bundle",0.10,IF(L179="Medium Value Bundle",0.15,0.20)))</f>
        <v/>
      </c>
      <c r="P179">
        <f>IF(M179="Yes",C179&amp;"|anchor","")</f>
        <v/>
      </c>
      <c r="Q179">
        <f>IF(M179="Yes",B179,"")</f>
        <v/>
      </c>
    </row>
    <row r="180">
      <c r="A180">
        <f>Input_Data!A180</f>
        <v/>
      </c>
      <c r="B180">
        <f>Input_Data!B180</f>
        <v/>
      </c>
      <c r="C180">
        <f>Input_Data!C180</f>
        <v/>
      </c>
      <c r="D180">
        <f>IF(A180="","",SUM(Input_Data!D180:I180))</f>
        <v/>
      </c>
      <c r="E180">
        <f>IF(D180="","",D180/6)</f>
        <v/>
      </c>
      <c r="F180" s="2">
        <f>IF(D180="","",IF(COUNTA($D$2:$D$300)&lt;=1,0,PERCENTRANK.INC($D$2:$D$300,D180)))</f>
        <v/>
      </c>
      <c r="G180" s="2">
        <f>Input_Data!J180</f>
        <v/>
      </c>
      <c r="H180" s="2">
        <f>IF(G180="","",IF(COUNTA($G$2:$G$300)&lt;=1,0,PERCENTRANK.INC($G$2:$G$300,G180)))</f>
        <v/>
      </c>
      <c r="I180" s="2">
        <f>IF(F180="","",1-F180)</f>
        <v/>
      </c>
      <c r="J180" s="2">
        <f>IF(A180="","",0.6*I180+0.4*H180)</f>
        <v/>
      </c>
      <c r="K180">
        <f>IF(F180="","",IF(F180&lt;=0.33,"Low Movement",IF(F180&lt;=0.66,"Medium Movement","High Movement")))</f>
        <v/>
      </c>
      <c r="L180">
        <f>IF(J180="","",IF(J180&gt;=0.67,"High Value Bundle",IF(J180&gt;=0.34,"Medium Value Bundle","Low Value Bundle")))</f>
        <v/>
      </c>
      <c r="M180">
        <f>IF(A180="","",IF(AND(F180&gt;=0.66,H180&gt;=0.66),"Yes","No"))</f>
        <v/>
      </c>
      <c r="N180">
        <f>IF(A180="","",IF(K180="Low Movement","Yes","No"))</f>
        <v/>
      </c>
      <c r="O180" s="2">
        <f>IF(L180="","",IF(L180="High Value Bundle",0.10,IF(L180="Medium Value Bundle",0.15,0.20)))</f>
        <v/>
      </c>
      <c r="P180">
        <f>IF(M180="Yes",C180&amp;"|anchor","")</f>
        <v/>
      </c>
      <c r="Q180">
        <f>IF(M180="Yes",B180,"")</f>
        <v/>
      </c>
    </row>
    <row r="181">
      <c r="A181">
        <f>Input_Data!A181</f>
        <v/>
      </c>
      <c r="B181">
        <f>Input_Data!B181</f>
        <v/>
      </c>
      <c r="C181">
        <f>Input_Data!C181</f>
        <v/>
      </c>
      <c r="D181">
        <f>IF(A181="","",SUM(Input_Data!D181:I181))</f>
        <v/>
      </c>
      <c r="E181">
        <f>IF(D181="","",D181/6)</f>
        <v/>
      </c>
      <c r="F181" s="2">
        <f>IF(D181="","",IF(COUNTA($D$2:$D$300)&lt;=1,0,PERCENTRANK.INC($D$2:$D$300,D181)))</f>
        <v/>
      </c>
      <c r="G181" s="2">
        <f>Input_Data!J181</f>
        <v/>
      </c>
      <c r="H181" s="2">
        <f>IF(G181="","",IF(COUNTA($G$2:$G$300)&lt;=1,0,PERCENTRANK.INC($G$2:$G$300,G181)))</f>
        <v/>
      </c>
      <c r="I181" s="2">
        <f>IF(F181="","",1-F181)</f>
        <v/>
      </c>
      <c r="J181" s="2">
        <f>IF(A181="","",0.6*I181+0.4*H181)</f>
        <v/>
      </c>
      <c r="K181">
        <f>IF(F181="","",IF(F181&lt;=0.33,"Low Movement",IF(F181&lt;=0.66,"Medium Movement","High Movement")))</f>
        <v/>
      </c>
      <c r="L181">
        <f>IF(J181="","",IF(J181&gt;=0.67,"High Value Bundle",IF(J181&gt;=0.34,"Medium Value Bundle","Low Value Bundle")))</f>
        <v/>
      </c>
      <c r="M181">
        <f>IF(A181="","",IF(AND(F181&gt;=0.66,H181&gt;=0.66),"Yes","No"))</f>
        <v/>
      </c>
      <c r="N181">
        <f>IF(A181="","",IF(K181="Low Movement","Yes","No"))</f>
        <v/>
      </c>
      <c r="O181" s="2">
        <f>IF(L181="","",IF(L181="High Value Bundle",0.10,IF(L181="Medium Value Bundle",0.15,0.20)))</f>
        <v/>
      </c>
      <c r="P181">
        <f>IF(M181="Yes",C181&amp;"|anchor","")</f>
        <v/>
      </c>
      <c r="Q181">
        <f>IF(M181="Yes",B181,"")</f>
        <v/>
      </c>
    </row>
    <row r="182">
      <c r="A182">
        <f>Input_Data!A182</f>
        <v/>
      </c>
      <c r="B182">
        <f>Input_Data!B182</f>
        <v/>
      </c>
      <c r="C182">
        <f>Input_Data!C182</f>
        <v/>
      </c>
      <c r="D182">
        <f>IF(A182="","",SUM(Input_Data!D182:I182))</f>
        <v/>
      </c>
      <c r="E182">
        <f>IF(D182="","",D182/6)</f>
        <v/>
      </c>
      <c r="F182" s="2">
        <f>IF(D182="","",IF(COUNTA($D$2:$D$300)&lt;=1,0,PERCENTRANK.INC($D$2:$D$300,D182)))</f>
        <v/>
      </c>
      <c r="G182" s="2">
        <f>Input_Data!J182</f>
        <v/>
      </c>
      <c r="H182" s="2">
        <f>IF(G182="","",IF(COUNTA($G$2:$G$300)&lt;=1,0,PERCENTRANK.INC($G$2:$G$300,G182)))</f>
        <v/>
      </c>
      <c r="I182" s="2">
        <f>IF(F182="","",1-F182)</f>
        <v/>
      </c>
      <c r="J182" s="2">
        <f>IF(A182="","",0.6*I182+0.4*H182)</f>
        <v/>
      </c>
      <c r="K182">
        <f>IF(F182="","",IF(F182&lt;=0.33,"Low Movement",IF(F182&lt;=0.66,"Medium Movement","High Movement")))</f>
        <v/>
      </c>
      <c r="L182">
        <f>IF(J182="","",IF(J182&gt;=0.67,"High Value Bundle",IF(J182&gt;=0.34,"Medium Value Bundle","Low Value Bundle")))</f>
        <v/>
      </c>
      <c r="M182">
        <f>IF(A182="","",IF(AND(F182&gt;=0.66,H182&gt;=0.66),"Yes","No"))</f>
        <v/>
      </c>
      <c r="N182">
        <f>IF(A182="","",IF(K182="Low Movement","Yes","No"))</f>
        <v/>
      </c>
      <c r="O182" s="2">
        <f>IF(L182="","",IF(L182="High Value Bundle",0.10,IF(L182="Medium Value Bundle",0.15,0.20)))</f>
        <v/>
      </c>
      <c r="P182">
        <f>IF(M182="Yes",C182&amp;"|anchor","")</f>
        <v/>
      </c>
      <c r="Q182">
        <f>IF(M182="Yes",B182,"")</f>
        <v/>
      </c>
    </row>
    <row r="183">
      <c r="A183">
        <f>Input_Data!A183</f>
        <v/>
      </c>
      <c r="B183">
        <f>Input_Data!B183</f>
        <v/>
      </c>
      <c r="C183">
        <f>Input_Data!C183</f>
        <v/>
      </c>
      <c r="D183">
        <f>IF(A183="","",SUM(Input_Data!D183:I183))</f>
        <v/>
      </c>
      <c r="E183">
        <f>IF(D183="","",D183/6)</f>
        <v/>
      </c>
      <c r="F183" s="2">
        <f>IF(D183="","",IF(COUNTA($D$2:$D$300)&lt;=1,0,PERCENTRANK.INC($D$2:$D$300,D183)))</f>
        <v/>
      </c>
      <c r="G183" s="2">
        <f>Input_Data!J183</f>
        <v/>
      </c>
      <c r="H183" s="2">
        <f>IF(G183="","",IF(COUNTA($G$2:$G$300)&lt;=1,0,PERCENTRANK.INC($G$2:$G$300,G183)))</f>
        <v/>
      </c>
      <c r="I183" s="2">
        <f>IF(F183="","",1-F183)</f>
        <v/>
      </c>
      <c r="J183" s="2">
        <f>IF(A183="","",0.6*I183+0.4*H183)</f>
        <v/>
      </c>
      <c r="K183">
        <f>IF(F183="","",IF(F183&lt;=0.33,"Low Movement",IF(F183&lt;=0.66,"Medium Movement","High Movement")))</f>
        <v/>
      </c>
      <c r="L183">
        <f>IF(J183="","",IF(J183&gt;=0.67,"High Value Bundle",IF(J183&gt;=0.34,"Medium Value Bundle","Low Value Bundle")))</f>
        <v/>
      </c>
      <c r="M183">
        <f>IF(A183="","",IF(AND(F183&gt;=0.66,H183&gt;=0.66),"Yes","No"))</f>
        <v/>
      </c>
      <c r="N183">
        <f>IF(A183="","",IF(K183="Low Movement","Yes","No"))</f>
        <v/>
      </c>
      <c r="O183" s="2">
        <f>IF(L183="","",IF(L183="High Value Bundle",0.10,IF(L183="Medium Value Bundle",0.15,0.20)))</f>
        <v/>
      </c>
      <c r="P183">
        <f>IF(M183="Yes",C183&amp;"|anchor","")</f>
        <v/>
      </c>
      <c r="Q183">
        <f>IF(M183="Yes",B183,"")</f>
        <v/>
      </c>
    </row>
    <row r="184">
      <c r="A184">
        <f>Input_Data!A184</f>
        <v/>
      </c>
      <c r="B184">
        <f>Input_Data!B184</f>
        <v/>
      </c>
      <c r="C184">
        <f>Input_Data!C184</f>
        <v/>
      </c>
      <c r="D184">
        <f>IF(A184="","",SUM(Input_Data!D184:I184))</f>
        <v/>
      </c>
      <c r="E184">
        <f>IF(D184="","",D184/6)</f>
        <v/>
      </c>
      <c r="F184" s="2">
        <f>IF(D184="","",IF(COUNTA($D$2:$D$300)&lt;=1,0,PERCENTRANK.INC($D$2:$D$300,D184)))</f>
        <v/>
      </c>
      <c r="G184" s="2">
        <f>Input_Data!J184</f>
        <v/>
      </c>
      <c r="H184" s="2">
        <f>IF(G184="","",IF(COUNTA($G$2:$G$300)&lt;=1,0,PERCENTRANK.INC($G$2:$G$300,G184)))</f>
        <v/>
      </c>
      <c r="I184" s="2">
        <f>IF(F184="","",1-F184)</f>
        <v/>
      </c>
      <c r="J184" s="2">
        <f>IF(A184="","",0.6*I184+0.4*H184)</f>
        <v/>
      </c>
      <c r="K184">
        <f>IF(F184="","",IF(F184&lt;=0.33,"Low Movement",IF(F184&lt;=0.66,"Medium Movement","High Movement")))</f>
        <v/>
      </c>
      <c r="L184">
        <f>IF(J184="","",IF(J184&gt;=0.67,"High Value Bundle",IF(J184&gt;=0.34,"Medium Value Bundle","Low Value Bundle")))</f>
        <v/>
      </c>
      <c r="M184">
        <f>IF(A184="","",IF(AND(F184&gt;=0.66,H184&gt;=0.66),"Yes","No"))</f>
        <v/>
      </c>
      <c r="N184">
        <f>IF(A184="","",IF(K184="Low Movement","Yes","No"))</f>
        <v/>
      </c>
      <c r="O184" s="2">
        <f>IF(L184="","",IF(L184="High Value Bundle",0.10,IF(L184="Medium Value Bundle",0.15,0.20)))</f>
        <v/>
      </c>
      <c r="P184">
        <f>IF(M184="Yes",C184&amp;"|anchor","")</f>
        <v/>
      </c>
      <c r="Q184">
        <f>IF(M184="Yes",B184,"")</f>
        <v/>
      </c>
    </row>
    <row r="185">
      <c r="A185">
        <f>Input_Data!A185</f>
        <v/>
      </c>
      <c r="B185">
        <f>Input_Data!B185</f>
        <v/>
      </c>
      <c r="C185">
        <f>Input_Data!C185</f>
        <v/>
      </c>
      <c r="D185">
        <f>IF(A185="","",SUM(Input_Data!D185:I185))</f>
        <v/>
      </c>
      <c r="E185">
        <f>IF(D185="","",D185/6)</f>
        <v/>
      </c>
      <c r="F185" s="2">
        <f>IF(D185="","",IF(COUNTA($D$2:$D$300)&lt;=1,0,PERCENTRANK.INC($D$2:$D$300,D185)))</f>
        <v/>
      </c>
      <c r="G185" s="2">
        <f>Input_Data!J185</f>
        <v/>
      </c>
      <c r="H185" s="2">
        <f>IF(G185="","",IF(COUNTA($G$2:$G$300)&lt;=1,0,PERCENTRANK.INC($G$2:$G$300,G185)))</f>
        <v/>
      </c>
      <c r="I185" s="2">
        <f>IF(F185="","",1-F185)</f>
        <v/>
      </c>
      <c r="J185" s="2">
        <f>IF(A185="","",0.6*I185+0.4*H185)</f>
        <v/>
      </c>
      <c r="K185">
        <f>IF(F185="","",IF(F185&lt;=0.33,"Low Movement",IF(F185&lt;=0.66,"Medium Movement","High Movement")))</f>
        <v/>
      </c>
      <c r="L185">
        <f>IF(J185="","",IF(J185&gt;=0.67,"High Value Bundle",IF(J185&gt;=0.34,"Medium Value Bundle","Low Value Bundle")))</f>
        <v/>
      </c>
      <c r="M185">
        <f>IF(A185="","",IF(AND(F185&gt;=0.66,H185&gt;=0.66),"Yes","No"))</f>
        <v/>
      </c>
      <c r="N185">
        <f>IF(A185="","",IF(K185="Low Movement","Yes","No"))</f>
        <v/>
      </c>
      <c r="O185" s="2">
        <f>IF(L185="","",IF(L185="High Value Bundle",0.10,IF(L185="Medium Value Bundle",0.15,0.20)))</f>
        <v/>
      </c>
      <c r="P185">
        <f>IF(M185="Yes",C185&amp;"|anchor","")</f>
        <v/>
      </c>
      <c r="Q185">
        <f>IF(M185="Yes",B185,"")</f>
        <v/>
      </c>
    </row>
    <row r="186">
      <c r="A186">
        <f>Input_Data!A186</f>
        <v/>
      </c>
      <c r="B186">
        <f>Input_Data!B186</f>
        <v/>
      </c>
      <c r="C186">
        <f>Input_Data!C186</f>
        <v/>
      </c>
      <c r="D186">
        <f>IF(A186="","",SUM(Input_Data!D186:I186))</f>
        <v/>
      </c>
      <c r="E186">
        <f>IF(D186="","",D186/6)</f>
        <v/>
      </c>
      <c r="F186" s="2">
        <f>IF(D186="","",IF(COUNTA($D$2:$D$300)&lt;=1,0,PERCENTRANK.INC($D$2:$D$300,D186)))</f>
        <v/>
      </c>
      <c r="G186" s="2">
        <f>Input_Data!J186</f>
        <v/>
      </c>
      <c r="H186" s="2">
        <f>IF(G186="","",IF(COUNTA($G$2:$G$300)&lt;=1,0,PERCENTRANK.INC($G$2:$G$300,G186)))</f>
        <v/>
      </c>
      <c r="I186" s="2">
        <f>IF(F186="","",1-F186)</f>
        <v/>
      </c>
      <c r="J186" s="2">
        <f>IF(A186="","",0.6*I186+0.4*H186)</f>
        <v/>
      </c>
      <c r="K186">
        <f>IF(F186="","",IF(F186&lt;=0.33,"Low Movement",IF(F186&lt;=0.66,"Medium Movement","High Movement")))</f>
        <v/>
      </c>
      <c r="L186">
        <f>IF(J186="","",IF(J186&gt;=0.67,"High Value Bundle",IF(J186&gt;=0.34,"Medium Value Bundle","Low Value Bundle")))</f>
        <v/>
      </c>
      <c r="M186">
        <f>IF(A186="","",IF(AND(F186&gt;=0.66,H186&gt;=0.66),"Yes","No"))</f>
        <v/>
      </c>
      <c r="N186">
        <f>IF(A186="","",IF(K186="Low Movement","Yes","No"))</f>
        <v/>
      </c>
      <c r="O186" s="2">
        <f>IF(L186="","",IF(L186="High Value Bundle",0.10,IF(L186="Medium Value Bundle",0.15,0.20)))</f>
        <v/>
      </c>
      <c r="P186">
        <f>IF(M186="Yes",C186&amp;"|anchor","")</f>
        <v/>
      </c>
      <c r="Q186">
        <f>IF(M186="Yes",B186,"")</f>
        <v/>
      </c>
    </row>
    <row r="187">
      <c r="A187">
        <f>Input_Data!A187</f>
        <v/>
      </c>
      <c r="B187">
        <f>Input_Data!B187</f>
        <v/>
      </c>
      <c r="C187">
        <f>Input_Data!C187</f>
        <v/>
      </c>
      <c r="D187">
        <f>IF(A187="","",SUM(Input_Data!D187:I187))</f>
        <v/>
      </c>
      <c r="E187">
        <f>IF(D187="","",D187/6)</f>
        <v/>
      </c>
      <c r="F187" s="2">
        <f>IF(D187="","",IF(COUNTA($D$2:$D$300)&lt;=1,0,PERCENTRANK.INC($D$2:$D$300,D187)))</f>
        <v/>
      </c>
      <c r="G187" s="2">
        <f>Input_Data!J187</f>
        <v/>
      </c>
      <c r="H187" s="2">
        <f>IF(G187="","",IF(COUNTA($G$2:$G$300)&lt;=1,0,PERCENTRANK.INC($G$2:$G$300,G187)))</f>
        <v/>
      </c>
      <c r="I187" s="2">
        <f>IF(F187="","",1-F187)</f>
        <v/>
      </c>
      <c r="J187" s="2">
        <f>IF(A187="","",0.6*I187+0.4*H187)</f>
        <v/>
      </c>
      <c r="K187">
        <f>IF(F187="","",IF(F187&lt;=0.33,"Low Movement",IF(F187&lt;=0.66,"Medium Movement","High Movement")))</f>
        <v/>
      </c>
      <c r="L187">
        <f>IF(J187="","",IF(J187&gt;=0.67,"High Value Bundle",IF(J187&gt;=0.34,"Medium Value Bundle","Low Value Bundle")))</f>
        <v/>
      </c>
      <c r="M187">
        <f>IF(A187="","",IF(AND(F187&gt;=0.66,H187&gt;=0.66),"Yes","No"))</f>
        <v/>
      </c>
      <c r="N187">
        <f>IF(A187="","",IF(K187="Low Movement","Yes","No"))</f>
        <v/>
      </c>
      <c r="O187" s="2">
        <f>IF(L187="","",IF(L187="High Value Bundle",0.10,IF(L187="Medium Value Bundle",0.15,0.20)))</f>
        <v/>
      </c>
      <c r="P187">
        <f>IF(M187="Yes",C187&amp;"|anchor","")</f>
        <v/>
      </c>
      <c r="Q187">
        <f>IF(M187="Yes",B187,"")</f>
        <v/>
      </c>
    </row>
    <row r="188">
      <c r="A188">
        <f>Input_Data!A188</f>
        <v/>
      </c>
      <c r="B188">
        <f>Input_Data!B188</f>
        <v/>
      </c>
      <c r="C188">
        <f>Input_Data!C188</f>
        <v/>
      </c>
      <c r="D188">
        <f>IF(A188="","",SUM(Input_Data!D188:I188))</f>
        <v/>
      </c>
      <c r="E188">
        <f>IF(D188="","",D188/6)</f>
        <v/>
      </c>
      <c r="F188" s="2">
        <f>IF(D188="","",IF(COUNTA($D$2:$D$300)&lt;=1,0,PERCENTRANK.INC($D$2:$D$300,D188)))</f>
        <v/>
      </c>
      <c r="G188" s="2">
        <f>Input_Data!J188</f>
        <v/>
      </c>
      <c r="H188" s="2">
        <f>IF(G188="","",IF(COUNTA($G$2:$G$300)&lt;=1,0,PERCENTRANK.INC($G$2:$G$300,G188)))</f>
        <v/>
      </c>
      <c r="I188" s="2">
        <f>IF(F188="","",1-F188)</f>
        <v/>
      </c>
      <c r="J188" s="2">
        <f>IF(A188="","",0.6*I188+0.4*H188)</f>
        <v/>
      </c>
      <c r="K188">
        <f>IF(F188="","",IF(F188&lt;=0.33,"Low Movement",IF(F188&lt;=0.66,"Medium Movement","High Movement")))</f>
        <v/>
      </c>
      <c r="L188">
        <f>IF(J188="","",IF(J188&gt;=0.67,"High Value Bundle",IF(J188&gt;=0.34,"Medium Value Bundle","Low Value Bundle")))</f>
        <v/>
      </c>
      <c r="M188">
        <f>IF(A188="","",IF(AND(F188&gt;=0.66,H188&gt;=0.66),"Yes","No"))</f>
        <v/>
      </c>
      <c r="N188">
        <f>IF(A188="","",IF(K188="Low Movement","Yes","No"))</f>
        <v/>
      </c>
      <c r="O188" s="2">
        <f>IF(L188="","",IF(L188="High Value Bundle",0.10,IF(L188="Medium Value Bundle",0.15,0.20)))</f>
        <v/>
      </c>
      <c r="P188">
        <f>IF(M188="Yes",C188&amp;"|anchor","")</f>
        <v/>
      </c>
      <c r="Q188">
        <f>IF(M188="Yes",B188,"")</f>
        <v/>
      </c>
    </row>
    <row r="189">
      <c r="A189">
        <f>Input_Data!A189</f>
        <v/>
      </c>
      <c r="B189">
        <f>Input_Data!B189</f>
        <v/>
      </c>
      <c r="C189">
        <f>Input_Data!C189</f>
        <v/>
      </c>
      <c r="D189">
        <f>IF(A189="","",SUM(Input_Data!D189:I189))</f>
        <v/>
      </c>
      <c r="E189">
        <f>IF(D189="","",D189/6)</f>
        <v/>
      </c>
      <c r="F189" s="2">
        <f>IF(D189="","",IF(COUNTA($D$2:$D$300)&lt;=1,0,PERCENTRANK.INC($D$2:$D$300,D189)))</f>
        <v/>
      </c>
      <c r="G189" s="2">
        <f>Input_Data!J189</f>
        <v/>
      </c>
      <c r="H189" s="2">
        <f>IF(G189="","",IF(COUNTA($G$2:$G$300)&lt;=1,0,PERCENTRANK.INC($G$2:$G$300,G189)))</f>
        <v/>
      </c>
      <c r="I189" s="2">
        <f>IF(F189="","",1-F189)</f>
        <v/>
      </c>
      <c r="J189" s="2">
        <f>IF(A189="","",0.6*I189+0.4*H189)</f>
        <v/>
      </c>
      <c r="K189">
        <f>IF(F189="","",IF(F189&lt;=0.33,"Low Movement",IF(F189&lt;=0.66,"Medium Movement","High Movement")))</f>
        <v/>
      </c>
      <c r="L189">
        <f>IF(J189="","",IF(J189&gt;=0.67,"High Value Bundle",IF(J189&gt;=0.34,"Medium Value Bundle","Low Value Bundle")))</f>
        <v/>
      </c>
      <c r="M189">
        <f>IF(A189="","",IF(AND(F189&gt;=0.66,H189&gt;=0.66),"Yes","No"))</f>
        <v/>
      </c>
      <c r="N189">
        <f>IF(A189="","",IF(K189="Low Movement","Yes","No"))</f>
        <v/>
      </c>
      <c r="O189" s="2">
        <f>IF(L189="","",IF(L189="High Value Bundle",0.10,IF(L189="Medium Value Bundle",0.15,0.20)))</f>
        <v/>
      </c>
      <c r="P189">
        <f>IF(M189="Yes",C189&amp;"|anchor","")</f>
        <v/>
      </c>
      <c r="Q189">
        <f>IF(M189="Yes",B189,"")</f>
        <v/>
      </c>
    </row>
    <row r="190">
      <c r="A190">
        <f>Input_Data!A190</f>
        <v/>
      </c>
      <c r="B190">
        <f>Input_Data!B190</f>
        <v/>
      </c>
      <c r="C190">
        <f>Input_Data!C190</f>
        <v/>
      </c>
      <c r="D190">
        <f>IF(A190="","",SUM(Input_Data!D190:I190))</f>
        <v/>
      </c>
      <c r="E190">
        <f>IF(D190="","",D190/6)</f>
        <v/>
      </c>
      <c r="F190" s="2">
        <f>IF(D190="","",IF(COUNTA($D$2:$D$300)&lt;=1,0,PERCENTRANK.INC($D$2:$D$300,D190)))</f>
        <v/>
      </c>
      <c r="G190" s="2">
        <f>Input_Data!J190</f>
        <v/>
      </c>
      <c r="H190" s="2">
        <f>IF(G190="","",IF(COUNTA($G$2:$G$300)&lt;=1,0,PERCENTRANK.INC($G$2:$G$300,G190)))</f>
        <v/>
      </c>
      <c r="I190" s="2">
        <f>IF(F190="","",1-F190)</f>
        <v/>
      </c>
      <c r="J190" s="2">
        <f>IF(A190="","",0.6*I190+0.4*H190)</f>
        <v/>
      </c>
      <c r="K190">
        <f>IF(F190="","",IF(F190&lt;=0.33,"Low Movement",IF(F190&lt;=0.66,"Medium Movement","High Movement")))</f>
        <v/>
      </c>
      <c r="L190">
        <f>IF(J190="","",IF(J190&gt;=0.67,"High Value Bundle",IF(J190&gt;=0.34,"Medium Value Bundle","Low Value Bundle")))</f>
        <v/>
      </c>
      <c r="M190">
        <f>IF(A190="","",IF(AND(F190&gt;=0.66,H190&gt;=0.66),"Yes","No"))</f>
        <v/>
      </c>
      <c r="N190">
        <f>IF(A190="","",IF(K190="Low Movement","Yes","No"))</f>
        <v/>
      </c>
      <c r="O190" s="2">
        <f>IF(L190="","",IF(L190="High Value Bundle",0.10,IF(L190="Medium Value Bundle",0.15,0.20)))</f>
        <v/>
      </c>
      <c r="P190">
        <f>IF(M190="Yes",C190&amp;"|anchor","")</f>
        <v/>
      </c>
      <c r="Q190">
        <f>IF(M190="Yes",B190,"")</f>
        <v/>
      </c>
    </row>
    <row r="191">
      <c r="A191">
        <f>Input_Data!A191</f>
        <v/>
      </c>
      <c r="B191">
        <f>Input_Data!B191</f>
        <v/>
      </c>
      <c r="C191">
        <f>Input_Data!C191</f>
        <v/>
      </c>
      <c r="D191">
        <f>IF(A191="","",SUM(Input_Data!D191:I191))</f>
        <v/>
      </c>
      <c r="E191">
        <f>IF(D191="","",D191/6)</f>
        <v/>
      </c>
      <c r="F191" s="2">
        <f>IF(D191="","",IF(COUNTA($D$2:$D$300)&lt;=1,0,PERCENTRANK.INC($D$2:$D$300,D191)))</f>
        <v/>
      </c>
      <c r="G191" s="2">
        <f>Input_Data!J191</f>
        <v/>
      </c>
      <c r="H191" s="2">
        <f>IF(G191="","",IF(COUNTA($G$2:$G$300)&lt;=1,0,PERCENTRANK.INC($G$2:$G$300,G191)))</f>
        <v/>
      </c>
      <c r="I191" s="2">
        <f>IF(F191="","",1-F191)</f>
        <v/>
      </c>
      <c r="J191" s="2">
        <f>IF(A191="","",0.6*I191+0.4*H191)</f>
        <v/>
      </c>
      <c r="K191">
        <f>IF(F191="","",IF(F191&lt;=0.33,"Low Movement",IF(F191&lt;=0.66,"Medium Movement","High Movement")))</f>
        <v/>
      </c>
      <c r="L191">
        <f>IF(J191="","",IF(J191&gt;=0.67,"High Value Bundle",IF(J191&gt;=0.34,"Medium Value Bundle","Low Value Bundle")))</f>
        <v/>
      </c>
      <c r="M191">
        <f>IF(A191="","",IF(AND(F191&gt;=0.66,H191&gt;=0.66),"Yes","No"))</f>
        <v/>
      </c>
      <c r="N191">
        <f>IF(A191="","",IF(K191="Low Movement","Yes","No"))</f>
        <v/>
      </c>
      <c r="O191" s="2">
        <f>IF(L191="","",IF(L191="High Value Bundle",0.10,IF(L191="Medium Value Bundle",0.15,0.20)))</f>
        <v/>
      </c>
      <c r="P191">
        <f>IF(M191="Yes",C191&amp;"|anchor","")</f>
        <v/>
      </c>
      <c r="Q191">
        <f>IF(M191="Yes",B191,"")</f>
        <v/>
      </c>
    </row>
    <row r="192">
      <c r="A192">
        <f>Input_Data!A192</f>
        <v/>
      </c>
      <c r="B192">
        <f>Input_Data!B192</f>
        <v/>
      </c>
      <c r="C192">
        <f>Input_Data!C192</f>
        <v/>
      </c>
      <c r="D192">
        <f>IF(A192="","",SUM(Input_Data!D192:I192))</f>
        <v/>
      </c>
      <c r="E192">
        <f>IF(D192="","",D192/6)</f>
        <v/>
      </c>
      <c r="F192" s="2">
        <f>IF(D192="","",IF(COUNTA($D$2:$D$300)&lt;=1,0,PERCENTRANK.INC($D$2:$D$300,D192)))</f>
        <v/>
      </c>
      <c r="G192" s="2">
        <f>Input_Data!J192</f>
        <v/>
      </c>
      <c r="H192" s="2">
        <f>IF(G192="","",IF(COUNTA($G$2:$G$300)&lt;=1,0,PERCENTRANK.INC($G$2:$G$300,G192)))</f>
        <v/>
      </c>
      <c r="I192" s="2">
        <f>IF(F192="","",1-F192)</f>
        <v/>
      </c>
      <c r="J192" s="2">
        <f>IF(A192="","",0.6*I192+0.4*H192)</f>
        <v/>
      </c>
      <c r="K192">
        <f>IF(F192="","",IF(F192&lt;=0.33,"Low Movement",IF(F192&lt;=0.66,"Medium Movement","High Movement")))</f>
        <v/>
      </c>
      <c r="L192">
        <f>IF(J192="","",IF(J192&gt;=0.67,"High Value Bundle",IF(J192&gt;=0.34,"Medium Value Bundle","Low Value Bundle")))</f>
        <v/>
      </c>
      <c r="M192">
        <f>IF(A192="","",IF(AND(F192&gt;=0.66,H192&gt;=0.66),"Yes","No"))</f>
        <v/>
      </c>
      <c r="N192">
        <f>IF(A192="","",IF(K192="Low Movement","Yes","No"))</f>
        <v/>
      </c>
      <c r="O192" s="2">
        <f>IF(L192="","",IF(L192="High Value Bundle",0.10,IF(L192="Medium Value Bundle",0.15,0.20)))</f>
        <v/>
      </c>
      <c r="P192">
        <f>IF(M192="Yes",C192&amp;"|anchor","")</f>
        <v/>
      </c>
      <c r="Q192">
        <f>IF(M192="Yes",B192,"")</f>
        <v/>
      </c>
    </row>
    <row r="193">
      <c r="A193">
        <f>Input_Data!A193</f>
        <v/>
      </c>
      <c r="B193">
        <f>Input_Data!B193</f>
        <v/>
      </c>
      <c r="C193">
        <f>Input_Data!C193</f>
        <v/>
      </c>
      <c r="D193">
        <f>IF(A193="","",SUM(Input_Data!D193:I193))</f>
        <v/>
      </c>
      <c r="E193">
        <f>IF(D193="","",D193/6)</f>
        <v/>
      </c>
      <c r="F193" s="2">
        <f>IF(D193="","",IF(COUNTA($D$2:$D$300)&lt;=1,0,PERCENTRANK.INC($D$2:$D$300,D193)))</f>
        <v/>
      </c>
      <c r="G193" s="2">
        <f>Input_Data!J193</f>
        <v/>
      </c>
      <c r="H193" s="2">
        <f>IF(G193="","",IF(COUNTA($G$2:$G$300)&lt;=1,0,PERCENTRANK.INC($G$2:$G$300,G193)))</f>
        <v/>
      </c>
      <c r="I193" s="2">
        <f>IF(F193="","",1-F193)</f>
        <v/>
      </c>
      <c r="J193" s="2">
        <f>IF(A193="","",0.6*I193+0.4*H193)</f>
        <v/>
      </c>
      <c r="K193">
        <f>IF(F193="","",IF(F193&lt;=0.33,"Low Movement",IF(F193&lt;=0.66,"Medium Movement","High Movement")))</f>
        <v/>
      </c>
      <c r="L193">
        <f>IF(J193="","",IF(J193&gt;=0.67,"High Value Bundle",IF(J193&gt;=0.34,"Medium Value Bundle","Low Value Bundle")))</f>
        <v/>
      </c>
      <c r="M193">
        <f>IF(A193="","",IF(AND(F193&gt;=0.66,H193&gt;=0.66),"Yes","No"))</f>
        <v/>
      </c>
      <c r="N193">
        <f>IF(A193="","",IF(K193="Low Movement","Yes","No"))</f>
        <v/>
      </c>
      <c r="O193" s="2">
        <f>IF(L193="","",IF(L193="High Value Bundle",0.10,IF(L193="Medium Value Bundle",0.15,0.20)))</f>
        <v/>
      </c>
      <c r="P193">
        <f>IF(M193="Yes",C193&amp;"|anchor","")</f>
        <v/>
      </c>
      <c r="Q193">
        <f>IF(M193="Yes",B193,"")</f>
        <v/>
      </c>
    </row>
    <row r="194">
      <c r="A194">
        <f>Input_Data!A194</f>
        <v/>
      </c>
      <c r="B194">
        <f>Input_Data!B194</f>
        <v/>
      </c>
      <c r="C194">
        <f>Input_Data!C194</f>
        <v/>
      </c>
      <c r="D194">
        <f>IF(A194="","",SUM(Input_Data!D194:I194))</f>
        <v/>
      </c>
      <c r="E194">
        <f>IF(D194="","",D194/6)</f>
        <v/>
      </c>
      <c r="F194" s="2">
        <f>IF(D194="","",IF(COUNTA($D$2:$D$300)&lt;=1,0,PERCENTRANK.INC($D$2:$D$300,D194)))</f>
        <v/>
      </c>
      <c r="G194" s="2">
        <f>Input_Data!J194</f>
        <v/>
      </c>
      <c r="H194" s="2">
        <f>IF(G194="","",IF(COUNTA($G$2:$G$300)&lt;=1,0,PERCENTRANK.INC($G$2:$G$300,G194)))</f>
        <v/>
      </c>
      <c r="I194" s="2">
        <f>IF(F194="","",1-F194)</f>
        <v/>
      </c>
      <c r="J194" s="2">
        <f>IF(A194="","",0.6*I194+0.4*H194)</f>
        <v/>
      </c>
      <c r="K194">
        <f>IF(F194="","",IF(F194&lt;=0.33,"Low Movement",IF(F194&lt;=0.66,"Medium Movement","High Movement")))</f>
        <v/>
      </c>
      <c r="L194">
        <f>IF(J194="","",IF(J194&gt;=0.67,"High Value Bundle",IF(J194&gt;=0.34,"Medium Value Bundle","Low Value Bundle")))</f>
        <v/>
      </c>
      <c r="M194">
        <f>IF(A194="","",IF(AND(F194&gt;=0.66,H194&gt;=0.66),"Yes","No"))</f>
        <v/>
      </c>
      <c r="N194">
        <f>IF(A194="","",IF(K194="Low Movement","Yes","No"))</f>
        <v/>
      </c>
      <c r="O194" s="2">
        <f>IF(L194="","",IF(L194="High Value Bundle",0.10,IF(L194="Medium Value Bundle",0.15,0.20)))</f>
        <v/>
      </c>
      <c r="P194">
        <f>IF(M194="Yes",C194&amp;"|anchor","")</f>
        <v/>
      </c>
      <c r="Q194">
        <f>IF(M194="Yes",B194,"")</f>
        <v/>
      </c>
    </row>
    <row r="195">
      <c r="A195">
        <f>Input_Data!A195</f>
        <v/>
      </c>
      <c r="B195">
        <f>Input_Data!B195</f>
        <v/>
      </c>
      <c r="C195">
        <f>Input_Data!C195</f>
        <v/>
      </c>
      <c r="D195">
        <f>IF(A195="","",SUM(Input_Data!D195:I195))</f>
        <v/>
      </c>
      <c r="E195">
        <f>IF(D195="","",D195/6)</f>
        <v/>
      </c>
      <c r="F195" s="2">
        <f>IF(D195="","",IF(COUNTA($D$2:$D$300)&lt;=1,0,PERCENTRANK.INC($D$2:$D$300,D195)))</f>
        <v/>
      </c>
      <c r="G195" s="2">
        <f>Input_Data!J195</f>
        <v/>
      </c>
      <c r="H195" s="2">
        <f>IF(G195="","",IF(COUNTA($G$2:$G$300)&lt;=1,0,PERCENTRANK.INC($G$2:$G$300,G195)))</f>
        <v/>
      </c>
      <c r="I195" s="2">
        <f>IF(F195="","",1-F195)</f>
        <v/>
      </c>
      <c r="J195" s="2">
        <f>IF(A195="","",0.6*I195+0.4*H195)</f>
        <v/>
      </c>
      <c r="K195">
        <f>IF(F195="","",IF(F195&lt;=0.33,"Low Movement",IF(F195&lt;=0.66,"Medium Movement","High Movement")))</f>
        <v/>
      </c>
      <c r="L195">
        <f>IF(J195="","",IF(J195&gt;=0.67,"High Value Bundle",IF(J195&gt;=0.34,"Medium Value Bundle","Low Value Bundle")))</f>
        <v/>
      </c>
      <c r="M195">
        <f>IF(A195="","",IF(AND(F195&gt;=0.66,H195&gt;=0.66),"Yes","No"))</f>
        <v/>
      </c>
      <c r="N195">
        <f>IF(A195="","",IF(K195="Low Movement","Yes","No"))</f>
        <v/>
      </c>
      <c r="O195" s="2">
        <f>IF(L195="","",IF(L195="High Value Bundle",0.10,IF(L195="Medium Value Bundle",0.15,0.20)))</f>
        <v/>
      </c>
      <c r="P195">
        <f>IF(M195="Yes",C195&amp;"|anchor","")</f>
        <v/>
      </c>
      <c r="Q195">
        <f>IF(M195="Yes",B195,"")</f>
        <v/>
      </c>
    </row>
    <row r="196">
      <c r="A196">
        <f>Input_Data!A196</f>
        <v/>
      </c>
      <c r="B196">
        <f>Input_Data!B196</f>
        <v/>
      </c>
      <c r="C196">
        <f>Input_Data!C196</f>
        <v/>
      </c>
      <c r="D196">
        <f>IF(A196="","",SUM(Input_Data!D196:I196))</f>
        <v/>
      </c>
      <c r="E196">
        <f>IF(D196="","",D196/6)</f>
        <v/>
      </c>
      <c r="F196" s="2">
        <f>IF(D196="","",IF(COUNTA($D$2:$D$300)&lt;=1,0,PERCENTRANK.INC($D$2:$D$300,D196)))</f>
        <v/>
      </c>
      <c r="G196" s="2">
        <f>Input_Data!J196</f>
        <v/>
      </c>
      <c r="H196" s="2">
        <f>IF(G196="","",IF(COUNTA($G$2:$G$300)&lt;=1,0,PERCENTRANK.INC($G$2:$G$300,G196)))</f>
        <v/>
      </c>
      <c r="I196" s="2">
        <f>IF(F196="","",1-F196)</f>
        <v/>
      </c>
      <c r="J196" s="2">
        <f>IF(A196="","",0.6*I196+0.4*H196)</f>
        <v/>
      </c>
      <c r="K196">
        <f>IF(F196="","",IF(F196&lt;=0.33,"Low Movement",IF(F196&lt;=0.66,"Medium Movement","High Movement")))</f>
        <v/>
      </c>
      <c r="L196">
        <f>IF(J196="","",IF(J196&gt;=0.67,"High Value Bundle",IF(J196&gt;=0.34,"Medium Value Bundle","Low Value Bundle")))</f>
        <v/>
      </c>
      <c r="M196">
        <f>IF(A196="","",IF(AND(F196&gt;=0.66,H196&gt;=0.66),"Yes","No"))</f>
        <v/>
      </c>
      <c r="N196">
        <f>IF(A196="","",IF(K196="Low Movement","Yes","No"))</f>
        <v/>
      </c>
      <c r="O196" s="2">
        <f>IF(L196="","",IF(L196="High Value Bundle",0.10,IF(L196="Medium Value Bundle",0.15,0.20)))</f>
        <v/>
      </c>
      <c r="P196">
        <f>IF(M196="Yes",C196&amp;"|anchor","")</f>
        <v/>
      </c>
      <c r="Q196">
        <f>IF(M196="Yes",B196,"")</f>
        <v/>
      </c>
    </row>
    <row r="197">
      <c r="A197">
        <f>Input_Data!A197</f>
        <v/>
      </c>
      <c r="B197">
        <f>Input_Data!B197</f>
        <v/>
      </c>
      <c r="C197">
        <f>Input_Data!C197</f>
        <v/>
      </c>
      <c r="D197">
        <f>IF(A197="","",SUM(Input_Data!D197:I197))</f>
        <v/>
      </c>
      <c r="E197">
        <f>IF(D197="","",D197/6)</f>
        <v/>
      </c>
      <c r="F197" s="2">
        <f>IF(D197="","",IF(COUNTA($D$2:$D$300)&lt;=1,0,PERCENTRANK.INC($D$2:$D$300,D197)))</f>
        <v/>
      </c>
      <c r="G197" s="2">
        <f>Input_Data!J197</f>
        <v/>
      </c>
      <c r="H197" s="2">
        <f>IF(G197="","",IF(COUNTA($G$2:$G$300)&lt;=1,0,PERCENTRANK.INC($G$2:$G$300,G197)))</f>
        <v/>
      </c>
      <c r="I197" s="2">
        <f>IF(F197="","",1-F197)</f>
        <v/>
      </c>
      <c r="J197" s="2">
        <f>IF(A197="","",0.6*I197+0.4*H197)</f>
        <v/>
      </c>
      <c r="K197">
        <f>IF(F197="","",IF(F197&lt;=0.33,"Low Movement",IF(F197&lt;=0.66,"Medium Movement","High Movement")))</f>
        <v/>
      </c>
      <c r="L197">
        <f>IF(J197="","",IF(J197&gt;=0.67,"High Value Bundle",IF(J197&gt;=0.34,"Medium Value Bundle","Low Value Bundle")))</f>
        <v/>
      </c>
      <c r="M197">
        <f>IF(A197="","",IF(AND(F197&gt;=0.66,H197&gt;=0.66),"Yes","No"))</f>
        <v/>
      </c>
      <c r="N197">
        <f>IF(A197="","",IF(K197="Low Movement","Yes","No"))</f>
        <v/>
      </c>
      <c r="O197" s="2">
        <f>IF(L197="","",IF(L197="High Value Bundle",0.10,IF(L197="Medium Value Bundle",0.15,0.20)))</f>
        <v/>
      </c>
      <c r="P197">
        <f>IF(M197="Yes",C197&amp;"|anchor","")</f>
        <v/>
      </c>
      <c r="Q197">
        <f>IF(M197="Yes",B197,"")</f>
        <v/>
      </c>
    </row>
    <row r="198">
      <c r="A198">
        <f>Input_Data!A198</f>
        <v/>
      </c>
      <c r="B198">
        <f>Input_Data!B198</f>
        <v/>
      </c>
      <c r="C198">
        <f>Input_Data!C198</f>
        <v/>
      </c>
      <c r="D198">
        <f>IF(A198="","",SUM(Input_Data!D198:I198))</f>
        <v/>
      </c>
      <c r="E198">
        <f>IF(D198="","",D198/6)</f>
        <v/>
      </c>
      <c r="F198" s="2">
        <f>IF(D198="","",IF(COUNTA($D$2:$D$300)&lt;=1,0,PERCENTRANK.INC($D$2:$D$300,D198)))</f>
        <v/>
      </c>
      <c r="G198" s="2">
        <f>Input_Data!J198</f>
        <v/>
      </c>
      <c r="H198" s="2">
        <f>IF(G198="","",IF(COUNTA($G$2:$G$300)&lt;=1,0,PERCENTRANK.INC($G$2:$G$300,G198)))</f>
        <v/>
      </c>
      <c r="I198" s="2">
        <f>IF(F198="","",1-F198)</f>
        <v/>
      </c>
      <c r="J198" s="2">
        <f>IF(A198="","",0.6*I198+0.4*H198)</f>
        <v/>
      </c>
      <c r="K198">
        <f>IF(F198="","",IF(F198&lt;=0.33,"Low Movement",IF(F198&lt;=0.66,"Medium Movement","High Movement")))</f>
        <v/>
      </c>
      <c r="L198">
        <f>IF(J198="","",IF(J198&gt;=0.67,"High Value Bundle",IF(J198&gt;=0.34,"Medium Value Bundle","Low Value Bundle")))</f>
        <v/>
      </c>
      <c r="M198">
        <f>IF(A198="","",IF(AND(F198&gt;=0.66,H198&gt;=0.66),"Yes","No"))</f>
        <v/>
      </c>
      <c r="N198">
        <f>IF(A198="","",IF(K198="Low Movement","Yes","No"))</f>
        <v/>
      </c>
      <c r="O198" s="2">
        <f>IF(L198="","",IF(L198="High Value Bundle",0.10,IF(L198="Medium Value Bundle",0.15,0.20)))</f>
        <v/>
      </c>
      <c r="P198">
        <f>IF(M198="Yes",C198&amp;"|anchor","")</f>
        <v/>
      </c>
      <c r="Q198">
        <f>IF(M198="Yes",B198,"")</f>
        <v/>
      </c>
    </row>
    <row r="199">
      <c r="A199">
        <f>Input_Data!A199</f>
        <v/>
      </c>
      <c r="B199">
        <f>Input_Data!B199</f>
        <v/>
      </c>
      <c r="C199">
        <f>Input_Data!C199</f>
        <v/>
      </c>
      <c r="D199">
        <f>IF(A199="","",SUM(Input_Data!D199:I199))</f>
        <v/>
      </c>
      <c r="E199">
        <f>IF(D199="","",D199/6)</f>
        <v/>
      </c>
      <c r="F199" s="2">
        <f>IF(D199="","",IF(COUNTA($D$2:$D$300)&lt;=1,0,PERCENTRANK.INC($D$2:$D$300,D199)))</f>
        <v/>
      </c>
      <c r="G199" s="2">
        <f>Input_Data!J199</f>
        <v/>
      </c>
      <c r="H199" s="2">
        <f>IF(G199="","",IF(COUNTA($G$2:$G$300)&lt;=1,0,PERCENTRANK.INC($G$2:$G$300,G199)))</f>
        <v/>
      </c>
      <c r="I199" s="2">
        <f>IF(F199="","",1-F199)</f>
        <v/>
      </c>
      <c r="J199" s="2">
        <f>IF(A199="","",0.6*I199+0.4*H199)</f>
        <v/>
      </c>
      <c r="K199">
        <f>IF(F199="","",IF(F199&lt;=0.33,"Low Movement",IF(F199&lt;=0.66,"Medium Movement","High Movement")))</f>
        <v/>
      </c>
      <c r="L199">
        <f>IF(J199="","",IF(J199&gt;=0.67,"High Value Bundle",IF(J199&gt;=0.34,"Medium Value Bundle","Low Value Bundle")))</f>
        <v/>
      </c>
      <c r="M199">
        <f>IF(A199="","",IF(AND(F199&gt;=0.66,H199&gt;=0.66),"Yes","No"))</f>
        <v/>
      </c>
      <c r="N199">
        <f>IF(A199="","",IF(K199="Low Movement","Yes","No"))</f>
        <v/>
      </c>
      <c r="O199" s="2">
        <f>IF(L199="","",IF(L199="High Value Bundle",0.10,IF(L199="Medium Value Bundle",0.15,0.20)))</f>
        <v/>
      </c>
      <c r="P199">
        <f>IF(M199="Yes",C199&amp;"|anchor","")</f>
        <v/>
      </c>
      <c r="Q199">
        <f>IF(M199="Yes",B199,"")</f>
        <v/>
      </c>
    </row>
    <row r="200">
      <c r="A200">
        <f>Input_Data!A200</f>
        <v/>
      </c>
      <c r="B200">
        <f>Input_Data!B200</f>
        <v/>
      </c>
      <c r="C200">
        <f>Input_Data!C200</f>
        <v/>
      </c>
      <c r="D200">
        <f>IF(A200="","",SUM(Input_Data!D200:I200))</f>
        <v/>
      </c>
      <c r="E200">
        <f>IF(D200="","",D200/6)</f>
        <v/>
      </c>
      <c r="F200" s="2">
        <f>IF(D200="","",IF(COUNTA($D$2:$D$300)&lt;=1,0,PERCENTRANK.INC($D$2:$D$300,D200)))</f>
        <v/>
      </c>
      <c r="G200" s="2">
        <f>Input_Data!J200</f>
        <v/>
      </c>
      <c r="H200" s="2">
        <f>IF(G200="","",IF(COUNTA($G$2:$G$300)&lt;=1,0,PERCENTRANK.INC($G$2:$G$300,G200)))</f>
        <v/>
      </c>
      <c r="I200" s="2">
        <f>IF(F200="","",1-F200)</f>
        <v/>
      </c>
      <c r="J200" s="2">
        <f>IF(A200="","",0.6*I200+0.4*H200)</f>
        <v/>
      </c>
      <c r="K200">
        <f>IF(F200="","",IF(F200&lt;=0.33,"Low Movement",IF(F200&lt;=0.66,"Medium Movement","High Movement")))</f>
        <v/>
      </c>
      <c r="L200">
        <f>IF(J200="","",IF(J200&gt;=0.67,"High Value Bundle",IF(J200&gt;=0.34,"Medium Value Bundle","Low Value Bundle")))</f>
        <v/>
      </c>
      <c r="M200">
        <f>IF(A200="","",IF(AND(F200&gt;=0.66,H200&gt;=0.66),"Yes","No"))</f>
        <v/>
      </c>
      <c r="N200">
        <f>IF(A200="","",IF(K200="Low Movement","Yes","No"))</f>
        <v/>
      </c>
      <c r="O200" s="2">
        <f>IF(L200="","",IF(L200="High Value Bundle",0.10,IF(L200="Medium Value Bundle",0.15,0.20)))</f>
        <v/>
      </c>
      <c r="P200">
        <f>IF(M200="Yes",C200&amp;"|anchor","")</f>
        <v/>
      </c>
      <c r="Q200">
        <f>IF(M200="Yes",B200,"")</f>
        <v/>
      </c>
    </row>
    <row r="201">
      <c r="A201">
        <f>Input_Data!A201</f>
        <v/>
      </c>
      <c r="B201">
        <f>Input_Data!B201</f>
        <v/>
      </c>
      <c r="C201">
        <f>Input_Data!C201</f>
        <v/>
      </c>
      <c r="D201">
        <f>IF(A201="","",SUM(Input_Data!D201:I201))</f>
        <v/>
      </c>
      <c r="E201">
        <f>IF(D201="","",D201/6)</f>
        <v/>
      </c>
      <c r="F201" s="2">
        <f>IF(D201="","",IF(COUNTA($D$2:$D$300)&lt;=1,0,PERCENTRANK.INC($D$2:$D$300,D201)))</f>
        <v/>
      </c>
      <c r="G201" s="2">
        <f>Input_Data!J201</f>
        <v/>
      </c>
      <c r="H201" s="2">
        <f>IF(G201="","",IF(COUNTA($G$2:$G$300)&lt;=1,0,PERCENTRANK.INC($G$2:$G$300,G201)))</f>
        <v/>
      </c>
      <c r="I201" s="2">
        <f>IF(F201="","",1-F201)</f>
        <v/>
      </c>
      <c r="J201" s="2">
        <f>IF(A201="","",0.6*I201+0.4*H201)</f>
        <v/>
      </c>
      <c r="K201">
        <f>IF(F201="","",IF(F201&lt;=0.33,"Low Movement",IF(F201&lt;=0.66,"Medium Movement","High Movement")))</f>
        <v/>
      </c>
      <c r="L201">
        <f>IF(J201="","",IF(J201&gt;=0.67,"High Value Bundle",IF(J201&gt;=0.34,"Medium Value Bundle","Low Value Bundle")))</f>
        <v/>
      </c>
      <c r="M201">
        <f>IF(A201="","",IF(AND(F201&gt;=0.66,H201&gt;=0.66),"Yes","No"))</f>
        <v/>
      </c>
      <c r="N201">
        <f>IF(A201="","",IF(K201="Low Movement","Yes","No"))</f>
        <v/>
      </c>
      <c r="O201" s="2">
        <f>IF(L201="","",IF(L201="High Value Bundle",0.10,IF(L201="Medium Value Bundle",0.15,0.20)))</f>
        <v/>
      </c>
      <c r="P201">
        <f>IF(M201="Yes",C201&amp;"|anchor","")</f>
        <v/>
      </c>
      <c r="Q201">
        <f>IF(M201="Yes",B201,"")</f>
        <v/>
      </c>
    </row>
    <row r="202">
      <c r="A202">
        <f>Input_Data!A202</f>
        <v/>
      </c>
      <c r="B202">
        <f>Input_Data!B202</f>
        <v/>
      </c>
      <c r="C202">
        <f>Input_Data!C202</f>
        <v/>
      </c>
      <c r="D202">
        <f>IF(A202="","",SUM(Input_Data!D202:I202))</f>
        <v/>
      </c>
      <c r="E202">
        <f>IF(D202="","",D202/6)</f>
        <v/>
      </c>
      <c r="F202" s="2">
        <f>IF(D202="","",IF(COUNTA($D$2:$D$300)&lt;=1,0,PERCENTRANK.INC($D$2:$D$300,D202)))</f>
        <v/>
      </c>
      <c r="G202" s="2">
        <f>Input_Data!J202</f>
        <v/>
      </c>
      <c r="H202" s="2">
        <f>IF(G202="","",IF(COUNTA($G$2:$G$300)&lt;=1,0,PERCENTRANK.INC($G$2:$G$300,G202)))</f>
        <v/>
      </c>
      <c r="I202" s="2">
        <f>IF(F202="","",1-F202)</f>
        <v/>
      </c>
      <c r="J202" s="2">
        <f>IF(A202="","",0.6*I202+0.4*H202)</f>
        <v/>
      </c>
      <c r="K202">
        <f>IF(F202="","",IF(F202&lt;=0.33,"Low Movement",IF(F202&lt;=0.66,"Medium Movement","High Movement")))</f>
        <v/>
      </c>
      <c r="L202">
        <f>IF(J202="","",IF(J202&gt;=0.67,"High Value Bundle",IF(J202&gt;=0.34,"Medium Value Bundle","Low Value Bundle")))</f>
        <v/>
      </c>
      <c r="M202">
        <f>IF(A202="","",IF(AND(F202&gt;=0.66,H202&gt;=0.66),"Yes","No"))</f>
        <v/>
      </c>
      <c r="N202">
        <f>IF(A202="","",IF(K202="Low Movement","Yes","No"))</f>
        <v/>
      </c>
      <c r="O202" s="2">
        <f>IF(L202="","",IF(L202="High Value Bundle",0.10,IF(L202="Medium Value Bundle",0.15,0.20)))</f>
        <v/>
      </c>
      <c r="P202">
        <f>IF(M202="Yes",C202&amp;"|anchor","")</f>
        <v/>
      </c>
      <c r="Q202">
        <f>IF(M202="Yes",B202,"")</f>
        <v/>
      </c>
    </row>
    <row r="203">
      <c r="A203">
        <f>Input_Data!A203</f>
        <v/>
      </c>
      <c r="B203">
        <f>Input_Data!B203</f>
        <v/>
      </c>
      <c r="C203">
        <f>Input_Data!C203</f>
        <v/>
      </c>
      <c r="D203">
        <f>IF(A203="","",SUM(Input_Data!D203:I203))</f>
        <v/>
      </c>
      <c r="E203">
        <f>IF(D203="","",D203/6)</f>
        <v/>
      </c>
      <c r="F203" s="2">
        <f>IF(D203="","",IF(COUNTA($D$2:$D$300)&lt;=1,0,PERCENTRANK.INC($D$2:$D$300,D203)))</f>
        <v/>
      </c>
      <c r="G203" s="2">
        <f>Input_Data!J203</f>
        <v/>
      </c>
      <c r="H203" s="2">
        <f>IF(G203="","",IF(COUNTA($G$2:$G$300)&lt;=1,0,PERCENTRANK.INC($G$2:$G$300,G203)))</f>
        <v/>
      </c>
      <c r="I203" s="2">
        <f>IF(F203="","",1-F203)</f>
        <v/>
      </c>
      <c r="J203" s="2">
        <f>IF(A203="","",0.6*I203+0.4*H203)</f>
        <v/>
      </c>
      <c r="K203">
        <f>IF(F203="","",IF(F203&lt;=0.33,"Low Movement",IF(F203&lt;=0.66,"Medium Movement","High Movement")))</f>
        <v/>
      </c>
      <c r="L203">
        <f>IF(J203="","",IF(J203&gt;=0.67,"High Value Bundle",IF(J203&gt;=0.34,"Medium Value Bundle","Low Value Bundle")))</f>
        <v/>
      </c>
      <c r="M203">
        <f>IF(A203="","",IF(AND(F203&gt;=0.66,H203&gt;=0.66),"Yes","No"))</f>
        <v/>
      </c>
      <c r="N203">
        <f>IF(A203="","",IF(K203="Low Movement","Yes","No"))</f>
        <v/>
      </c>
      <c r="O203" s="2">
        <f>IF(L203="","",IF(L203="High Value Bundle",0.10,IF(L203="Medium Value Bundle",0.15,0.20)))</f>
        <v/>
      </c>
      <c r="P203">
        <f>IF(M203="Yes",C203&amp;"|anchor","")</f>
        <v/>
      </c>
      <c r="Q203">
        <f>IF(M203="Yes",B203,"")</f>
        <v/>
      </c>
    </row>
    <row r="204">
      <c r="A204">
        <f>Input_Data!A204</f>
        <v/>
      </c>
      <c r="B204">
        <f>Input_Data!B204</f>
        <v/>
      </c>
      <c r="C204">
        <f>Input_Data!C204</f>
        <v/>
      </c>
      <c r="D204">
        <f>IF(A204="","",SUM(Input_Data!D204:I204))</f>
        <v/>
      </c>
      <c r="E204">
        <f>IF(D204="","",D204/6)</f>
        <v/>
      </c>
      <c r="F204" s="2">
        <f>IF(D204="","",IF(COUNTA($D$2:$D$300)&lt;=1,0,PERCENTRANK.INC($D$2:$D$300,D204)))</f>
        <v/>
      </c>
      <c r="G204" s="2">
        <f>Input_Data!J204</f>
        <v/>
      </c>
      <c r="H204" s="2">
        <f>IF(G204="","",IF(COUNTA($G$2:$G$300)&lt;=1,0,PERCENTRANK.INC($G$2:$G$300,G204)))</f>
        <v/>
      </c>
      <c r="I204" s="2">
        <f>IF(F204="","",1-F204)</f>
        <v/>
      </c>
      <c r="J204" s="2">
        <f>IF(A204="","",0.6*I204+0.4*H204)</f>
        <v/>
      </c>
      <c r="K204">
        <f>IF(F204="","",IF(F204&lt;=0.33,"Low Movement",IF(F204&lt;=0.66,"Medium Movement","High Movement")))</f>
        <v/>
      </c>
      <c r="L204">
        <f>IF(J204="","",IF(J204&gt;=0.67,"High Value Bundle",IF(J204&gt;=0.34,"Medium Value Bundle","Low Value Bundle")))</f>
        <v/>
      </c>
      <c r="M204">
        <f>IF(A204="","",IF(AND(F204&gt;=0.66,H204&gt;=0.66),"Yes","No"))</f>
        <v/>
      </c>
      <c r="N204">
        <f>IF(A204="","",IF(K204="Low Movement","Yes","No"))</f>
        <v/>
      </c>
      <c r="O204" s="2">
        <f>IF(L204="","",IF(L204="High Value Bundle",0.10,IF(L204="Medium Value Bundle",0.15,0.20)))</f>
        <v/>
      </c>
      <c r="P204">
        <f>IF(M204="Yes",C204&amp;"|anchor","")</f>
        <v/>
      </c>
      <c r="Q204">
        <f>IF(M204="Yes",B204,"")</f>
        <v/>
      </c>
    </row>
    <row r="205">
      <c r="A205">
        <f>Input_Data!A205</f>
        <v/>
      </c>
      <c r="B205">
        <f>Input_Data!B205</f>
        <v/>
      </c>
      <c r="C205">
        <f>Input_Data!C205</f>
        <v/>
      </c>
      <c r="D205">
        <f>IF(A205="","",SUM(Input_Data!D205:I205))</f>
        <v/>
      </c>
      <c r="E205">
        <f>IF(D205="","",D205/6)</f>
        <v/>
      </c>
      <c r="F205" s="2">
        <f>IF(D205="","",IF(COUNTA($D$2:$D$300)&lt;=1,0,PERCENTRANK.INC($D$2:$D$300,D205)))</f>
        <v/>
      </c>
      <c r="G205" s="2">
        <f>Input_Data!J205</f>
        <v/>
      </c>
      <c r="H205" s="2">
        <f>IF(G205="","",IF(COUNTA($G$2:$G$300)&lt;=1,0,PERCENTRANK.INC($G$2:$G$300,G205)))</f>
        <v/>
      </c>
      <c r="I205" s="2">
        <f>IF(F205="","",1-F205)</f>
        <v/>
      </c>
      <c r="J205" s="2">
        <f>IF(A205="","",0.6*I205+0.4*H205)</f>
        <v/>
      </c>
      <c r="K205">
        <f>IF(F205="","",IF(F205&lt;=0.33,"Low Movement",IF(F205&lt;=0.66,"Medium Movement","High Movement")))</f>
        <v/>
      </c>
      <c r="L205">
        <f>IF(J205="","",IF(J205&gt;=0.67,"High Value Bundle",IF(J205&gt;=0.34,"Medium Value Bundle","Low Value Bundle")))</f>
        <v/>
      </c>
      <c r="M205">
        <f>IF(A205="","",IF(AND(F205&gt;=0.66,H205&gt;=0.66),"Yes","No"))</f>
        <v/>
      </c>
      <c r="N205">
        <f>IF(A205="","",IF(K205="Low Movement","Yes","No"))</f>
        <v/>
      </c>
      <c r="O205" s="2">
        <f>IF(L205="","",IF(L205="High Value Bundle",0.10,IF(L205="Medium Value Bundle",0.15,0.20)))</f>
        <v/>
      </c>
      <c r="P205">
        <f>IF(M205="Yes",C205&amp;"|anchor","")</f>
        <v/>
      </c>
      <c r="Q205">
        <f>IF(M205="Yes",B205,"")</f>
        <v/>
      </c>
    </row>
    <row r="206">
      <c r="A206">
        <f>Input_Data!A206</f>
        <v/>
      </c>
      <c r="B206">
        <f>Input_Data!B206</f>
        <v/>
      </c>
      <c r="C206">
        <f>Input_Data!C206</f>
        <v/>
      </c>
      <c r="D206">
        <f>IF(A206="","",SUM(Input_Data!D206:I206))</f>
        <v/>
      </c>
      <c r="E206">
        <f>IF(D206="","",D206/6)</f>
        <v/>
      </c>
      <c r="F206" s="2">
        <f>IF(D206="","",IF(COUNTA($D$2:$D$300)&lt;=1,0,PERCENTRANK.INC($D$2:$D$300,D206)))</f>
        <v/>
      </c>
      <c r="G206" s="2">
        <f>Input_Data!J206</f>
        <v/>
      </c>
      <c r="H206" s="2">
        <f>IF(G206="","",IF(COUNTA($G$2:$G$300)&lt;=1,0,PERCENTRANK.INC($G$2:$G$300,G206)))</f>
        <v/>
      </c>
      <c r="I206" s="2">
        <f>IF(F206="","",1-F206)</f>
        <v/>
      </c>
      <c r="J206" s="2">
        <f>IF(A206="","",0.6*I206+0.4*H206)</f>
        <v/>
      </c>
      <c r="K206">
        <f>IF(F206="","",IF(F206&lt;=0.33,"Low Movement",IF(F206&lt;=0.66,"Medium Movement","High Movement")))</f>
        <v/>
      </c>
      <c r="L206">
        <f>IF(J206="","",IF(J206&gt;=0.67,"High Value Bundle",IF(J206&gt;=0.34,"Medium Value Bundle","Low Value Bundle")))</f>
        <v/>
      </c>
      <c r="M206">
        <f>IF(A206="","",IF(AND(F206&gt;=0.66,H206&gt;=0.66),"Yes","No"))</f>
        <v/>
      </c>
      <c r="N206">
        <f>IF(A206="","",IF(K206="Low Movement","Yes","No"))</f>
        <v/>
      </c>
      <c r="O206" s="2">
        <f>IF(L206="","",IF(L206="High Value Bundle",0.10,IF(L206="Medium Value Bundle",0.15,0.20)))</f>
        <v/>
      </c>
      <c r="P206">
        <f>IF(M206="Yes",C206&amp;"|anchor","")</f>
        <v/>
      </c>
      <c r="Q206">
        <f>IF(M206="Yes",B206,"")</f>
        <v/>
      </c>
    </row>
    <row r="207">
      <c r="A207">
        <f>Input_Data!A207</f>
        <v/>
      </c>
      <c r="B207">
        <f>Input_Data!B207</f>
        <v/>
      </c>
      <c r="C207">
        <f>Input_Data!C207</f>
        <v/>
      </c>
      <c r="D207">
        <f>IF(A207="","",SUM(Input_Data!D207:I207))</f>
        <v/>
      </c>
      <c r="E207">
        <f>IF(D207="","",D207/6)</f>
        <v/>
      </c>
      <c r="F207" s="2">
        <f>IF(D207="","",IF(COUNTA($D$2:$D$300)&lt;=1,0,PERCENTRANK.INC($D$2:$D$300,D207)))</f>
        <v/>
      </c>
      <c r="G207" s="2">
        <f>Input_Data!J207</f>
        <v/>
      </c>
      <c r="H207" s="2">
        <f>IF(G207="","",IF(COUNTA($G$2:$G$300)&lt;=1,0,PERCENTRANK.INC($G$2:$G$300,G207)))</f>
        <v/>
      </c>
      <c r="I207" s="2">
        <f>IF(F207="","",1-F207)</f>
        <v/>
      </c>
      <c r="J207" s="2">
        <f>IF(A207="","",0.6*I207+0.4*H207)</f>
        <v/>
      </c>
      <c r="K207">
        <f>IF(F207="","",IF(F207&lt;=0.33,"Low Movement",IF(F207&lt;=0.66,"Medium Movement","High Movement")))</f>
        <v/>
      </c>
      <c r="L207">
        <f>IF(J207="","",IF(J207&gt;=0.67,"High Value Bundle",IF(J207&gt;=0.34,"Medium Value Bundle","Low Value Bundle")))</f>
        <v/>
      </c>
      <c r="M207">
        <f>IF(A207="","",IF(AND(F207&gt;=0.66,H207&gt;=0.66),"Yes","No"))</f>
        <v/>
      </c>
      <c r="N207">
        <f>IF(A207="","",IF(K207="Low Movement","Yes","No"))</f>
        <v/>
      </c>
      <c r="O207" s="2">
        <f>IF(L207="","",IF(L207="High Value Bundle",0.10,IF(L207="Medium Value Bundle",0.15,0.20)))</f>
        <v/>
      </c>
      <c r="P207">
        <f>IF(M207="Yes",C207&amp;"|anchor","")</f>
        <v/>
      </c>
      <c r="Q207">
        <f>IF(M207="Yes",B207,"")</f>
        <v/>
      </c>
    </row>
    <row r="208">
      <c r="A208">
        <f>Input_Data!A208</f>
        <v/>
      </c>
      <c r="B208">
        <f>Input_Data!B208</f>
        <v/>
      </c>
      <c r="C208">
        <f>Input_Data!C208</f>
        <v/>
      </c>
      <c r="D208">
        <f>IF(A208="","",SUM(Input_Data!D208:I208))</f>
        <v/>
      </c>
      <c r="E208">
        <f>IF(D208="","",D208/6)</f>
        <v/>
      </c>
      <c r="F208" s="2">
        <f>IF(D208="","",IF(COUNTA($D$2:$D$300)&lt;=1,0,PERCENTRANK.INC($D$2:$D$300,D208)))</f>
        <v/>
      </c>
      <c r="G208" s="2">
        <f>Input_Data!J208</f>
        <v/>
      </c>
      <c r="H208" s="2">
        <f>IF(G208="","",IF(COUNTA($G$2:$G$300)&lt;=1,0,PERCENTRANK.INC($G$2:$G$300,G208)))</f>
        <v/>
      </c>
      <c r="I208" s="2">
        <f>IF(F208="","",1-F208)</f>
        <v/>
      </c>
      <c r="J208" s="2">
        <f>IF(A208="","",0.6*I208+0.4*H208)</f>
        <v/>
      </c>
      <c r="K208">
        <f>IF(F208="","",IF(F208&lt;=0.33,"Low Movement",IF(F208&lt;=0.66,"Medium Movement","High Movement")))</f>
        <v/>
      </c>
      <c r="L208">
        <f>IF(J208="","",IF(J208&gt;=0.67,"High Value Bundle",IF(J208&gt;=0.34,"Medium Value Bundle","Low Value Bundle")))</f>
        <v/>
      </c>
      <c r="M208">
        <f>IF(A208="","",IF(AND(F208&gt;=0.66,H208&gt;=0.66),"Yes","No"))</f>
        <v/>
      </c>
      <c r="N208">
        <f>IF(A208="","",IF(K208="Low Movement","Yes","No"))</f>
        <v/>
      </c>
      <c r="O208" s="2">
        <f>IF(L208="","",IF(L208="High Value Bundle",0.10,IF(L208="Medium Value Bundle",0.15,0.20)))</f>
        <v/>
      </c>
      <c r="P208">
        <f>IF(M208="Yes",C208&amp;"|anchor","")</f>
        <v/>
      </c>
      <c r="Q208">
        <f>IF(M208="Yes",B208,"")</f>
        <v/>
      </c>
    </row>
    <row r="209">
      <c r="A209">
        <f>Input_Data!A209</f>
        <v/>
      </c>
      <c r="B209">
        <f>Input_Data!B209</f>
        <v/>
      </c>
      <c r="C209">
        <f>Input_Data!C209</f>
        <v/>
      </c>
      <c r="D209">
        <f>IF(A209="","",SUM(Input_Data!D209:I209))</f>
        <v/>
      </c>
      <c r="E209">
        <f>IF(D209="","",D209/6)</f>
        <v/>
      </c>
      <c r="F209" s="2">
        <f>IF(D209="","",IF(COUNTA($D$2:$D$300)&lt;=1,0,PERCENTRANK.INC($D$2:$D$300,D209)))</f>
        <v/>
      </c>
      <c r="G209" s="2">
        <f>Input_Data!J209</f>
        <v/>
      </c>
      <c r="H209" s="2">
        <f>IF(G209="","",IF(COUNTA($G$2:$G$300)&lt;=1,0,PERCENTRANK.INC($G$2:$G$300,G209)))</f>
        <v/>
      </c>
      <c r="I209" s="2">
        <f>IF(F209="","",1-F209)</f>
        <v/>
      </c>
      <c r="J209" s="2">
        <f>IF(A209="","",0.6*I209+0.4*H209)</f>
        <v/>
      </c>
      <c r="K209">
        <f>IF(F209="","",IF(F209&lt;=0.33,"Low Movement",IF(F209&lt;=0.66,"Medium Movement","High Movement")))</f>
        <v/>
      </c>
      <c r="L209">
        <f>IF(J209="","",IF(J209&gt;=0.67,"High Value Bundle",IF(J209&gt;=0.34,"Medium Value Bundle","Low Value Bundle")))</f>
        <v/>
      </c>
      <c r="M209">
        <f>IF(A209="","",IF(AND(F209&gt;=0.66,H209&gt;=0.66),"Yes","No"))</f>
        <v/>
      </c>
      <c r="N209">
        <f>IF(A209="","",IF(K209="Low Movement","Yes","No"))</f>
        <v/>
      </c>
      <c r="O209" s="2">
        <f>IF(L209="","",IF(L209="High Value Bundle",0.10,IF(L209="Medium Value Bundle",0.15,0.20)))</f>
        <v/>
      </c>
      <c r="P209">
        <f>IF(M209="Yes",C209&amp;"|anchor","")</f>
        <v/>
      </c>
      <c r="Q209">
        <f>IF(M209="Yes",B209,"")</f>
        <v/>
      </c>
    </row>
    <row r="210">
      <c r="A210">
        <f>Input_Data!A210</f>
        <v/>
      </c>
      <c r="B210">
        <f>Input_Data!B210</f>
        <v/>
      </c>
      <c r="C210">
        <f>Input_Data!C210</f>
        <v/>
      </c>
      <c r="D210">
        <f>IF(A210="","",SUM(Input_Data!D210:I210))</f>
        <v/>
      </c>
      <c r="E210">
        <f>IF(D210="","",D210/6)</f>
        <v/>
      </c>
      <c r="F210" s="2">
        <f>IF(D210="","",IF(COUNTA($D$2:$D$300)&lt;=1,0,PERCENTRANK.INC($D$2:$D$300,D210)))</f>
        <v/>
      </c>
      <c r="G210" s="2">
        <f>Input_Data!J210</f>
        <v/>
      </c>
      <c r="H210" s="2">
        <f>IF(G210="","",IF(COUNTA($G$2:$G$300)&lt;=1,0,PERCENTRANK.INC($G$2:$G$300,G210)))</f>
        <v/>
      </c>
      <c r="I210" s="2">
        <f>IF(F210="","",1-F210)</f>
        <v/>
      </c>
      <c r="J210" s="2">
        <f>IF(A210="","",0.6*I210+0.4*H210)</f>
        <v/>
      </c>
      <c r="K210">
        <f>IF(F210="","",IF(F210&lt;=0.33,"Low Movement",IF(F210&lt;=0.66,"Medium Movement","High Movement")))</f>
        <v/>
      </c>
      <c r="L210">
        <f>IF(J210="","",IF(J210&gt;=0.67,"High Value Bundle",IF(J210&gt;=0.34,"Medium Value Bundle","Low Value Bundle")))</f>
        <v/>
      </c>
      <c r="M210">
        <f>IF(A210="","",IF(AND(F210&gt;=0.66,H210&gt;=0.66),"Yes","No"))</f>
        <v/>
      </c>
      <c r="N210">
        <f>IF(A210="","",IF(K210="Low Movement","Yes","No"))</f>
        <v/>
      </c>
      <c r="O210" s="2">
        <f>IF(L210="","",IF(L210="High Value Bundle",0.10,IF(L210="Medium Value Bundle",0.15,0.20)))</f>
        <v/>
      </c>
      <c r="P210">
        <f>IF(M210="Yes",C210&amp;"|anchor","")</f>
        <v/>
      </c>
      <c r="Q210">
        <f>IF(M210="Yes",B210,"")</f>
        <v/>
      </c>
    </row>
    <row r="211">
      <c r="A211">
        <f>Input_Data!A211</f>
        <v/>
      </c>
      <c r="B211">
        <f>Input_Data!B211</f>
        <v/>
      </c>
      <c r="C211">
        <f>Input_Data!C211</f>
        <v/>
      </c>
      <c r="D211">
        <f>IF(A211="","",SUM(Input_Data!D211:I211))</f>
        <v/>
      </c>
      <c r="E211">
        <f>IF(D211="","",D211/6)</f>
        <v/>
      </c>
      <c r="F211" s="2">
        <f>IF(D211="","",IF(COUNTA($D$2:$D$300)&lt;=1,0,PERCENTRANK.INC($D$2:$D$300,D211)))</f>
        <v/>
      </c>
      <c r="G211" s="2">
        <f>Input_Data!J211</f>
        <v/>
      </c>
      <c r="H211" s="2">
        <f>IF(G211="","",IF(COUNTA($G$2:$G$300)&lt;=1,0,PERCENTRANK.INC($G$2:$G$300,G211)))</f>
        <v/>
      </c>
      <c r="I211" s="2">
        <f>IF(F211="","",1-F211)</f>
        <v/>
      </c>
      <c r="J211" s="2">
        <f>IF(A211="","",0.6*I211+0.4*H211)</f>
        <v/>
      </c>
      <c r="K211">
        <f>IF(F211="","",IF(F211&lt;=0.33,"Low Movement",IF(F211&lt;=0.66,"Medium Movement","High Movement")))</f>
        <v/>
      </c>
      <c r="L211">
        <f>IF(J211="","",IF(J211&gt;=0.67,"High Value Bundle",IF(J211&gt;=0.34,"Medium Value Bundle","Low Value Bundle")))</f>
        <v/>
      </c>
      <c r="M211">
        <f>IF(A211="","",IF(AND(F211&gt;=0.66,H211&gt;=0.66),"Yes","No"))</f>
        <v/>
      </c>
      <c r="N211">
        <f>IF(A211="","",IF(K211="Low Movement","Yes","No"))</f>
        <v/>
      </c>
      <c r="O211" s="2">
        <f>IF(L211="","",IF(L211="High Value Bundle",0.10,IF(L211="Medium Value Bundle",0.15,0.20)))</f>
        <v/>
      </c>
      <c r="P211">
        <f>IF(M211="Yes",C211&amp;"|anchor","")</f>
        <v/>
      </c>
      <c r="Q211">
        <f>IF(M211="Yes",B211,"")</f>
        <v/>
      </c>
    </row>
    <row r="212">
      <c r="A212">
        <f>Input_Data!A212</f>
        <v/>
      </c>
      <c r="B212">
        <f>Input_Data!B212</f>
        <v/>
      </c>
      <c r="C212">
        <f>Input_Data!C212</f>
        <v/>
      </c>
      <c r="D212">
        <f>IF(A212="","",SUM(Input_Data!D212:I212))</f>
        <v/>
      </c>
      <c r="E212">
        <f>IF(D212="","",D212/6)</f>
        <v/>
      </c>
      <c r="F212" s="2">
        <f>IF(D212="","",IF(COUNTA($D$2:$D$300)&lt;=1,0,PERCENTRANK.INC($D$2:$D$300,D212)))</f>
        <v/>
      </c>
      <c r="G212" s="2">
        <f>Input_Data!J212</f>
        <v/>
      </c>
      <c r="H212" s="2">
        <f>IF(G212="","",IF(COUNTA($G$2:$G$300)&lt;=1,0,PERCENTRANK.INC($G$2:$G$300,G212)))</f>
        <v/>
      </c>
      <c r="I212" s="2">
        <f>IF(F212="","",1-F212)</f>
        <v/>
      </c>
      <c r="J212" s="2">
        <f>IF(A212="","",0.6*I212+0.4*H212)</f>
        <v/>
      </c>
      <c r="K212">
        <f>IF(F212="","",IF(F212&lt;=0.33,"Low Movement",IF(F212&lt;=0.66,"Medium Movement","High Movement")))</f>
        <v/>
      </c>
      <c r="L212">
        <f>IF(J212="","",IF(J212&gt;=0.67,"High Value Bundle",IF(J212&gt;=0.34,"Medium Value Bundle","Low Value Bundle")))</f>
        <v/>
      </c>
      <c r="M212">
        <f>IF(A212="","",IF(AND(F212&gt;=0.66,H212&gt;=0.66),"Yes","No"))</f>
        <v/>
      </c>
      <c r="N212">
        <f>IF(A212="","",IF(K212="Low Movement","Yes","No"))</f>
        <v/>
      </c>
      <c r="O212" s="2">
        <f>IF(L212="","",IF(L212="High Value Bundle",0.10,IF(L212="Medium Value Bundle",0.15,0.20)))</f>
        <v/>
      </c>
      <c r="P212">
        <f>IF(M212="Yes",C212&amp;"|anchor","")</f>
        <v/>
      </c>
      <c r="Q212">
        <f>IF(M212="Yes",B212,"")</f>
        <v/>
      </c>
    </row>
    <row r="213">
      <c r="A213">
        <f>Input_Data!A213</f>
        <v/>
      </c>
      <c r="B213">
        <f>Input_Data!B213</f>
        <v/>
      </c>
      <c r="C213">
        <f>Input_Data!C213</f>
        <v/>
      </c>
      <c r="D213">
        <f>IF(A213="","",SUM(Input_Data!D213:I213))</f>
        <v/>
      </c>
      <c r="E213">
        <f>IF(D213="","",D213/6)</f>
        <v/>
      </c>
      <c r="F213" s="2">
        <f>IF(D213="","",IF(COUNTA($D$2:$D$300)&lt;=1,0,PERCENTRANK.INC($D$2:$D$300,D213)))</f>
        <v/>
      </c>
      <c r="G213" s="2">
        <f>Input_Data!J213</f>
        <v/>
      </c>
      <c r="H213" s="2">
        <f>IF(G213="","",IF(COUNTA($G$2:$G$300)&lt;=1,0,PERCENTRANK.INC($G$2:$G$300,G213)))</f>
        <v/>
      </c>
      <c r="I213" s="2">
        <f>IF(F213="","",1-F213)</f>
        <v/>
      </c>
      <c r="J213" s="2">
        <f>IF(A213="","",0.6*I213+0.4*H213)</f>
        <v/>
      </c>
      <c r="K213">
        <f>IF(F213="","",IF(F213&lt;=0.33,"Low Movement",IF(F213&lt;=0.66,"Medium Movement","High Movement")))</f>
        <v/>
      </c>
      <c r="L213">
        <f>IF(J213="","",IF(J213&gt;=0.67,"High Value Bundle",IF(J213&gt;=0.34,"Medium Value Bundle","Low Value Bundle")))</f>
        <v/>
      </c>
      <c r="M213">
        <f>IF(A213="","",IF(AND(F213&gt;=0.66,H213&gt;=0.66),"Yes","No"))</f>
        <v/>
      </c>
      <c r="N213">
        <f>IF(A213="","",IF(K213="Low Movement","Yes","No"))</f>
        <v/>
      </c>
      <c r="O213" s="2">
        <f>IF(L213="","",IF(L213="High Value Bundle",0.10,IF(L213="Medium Value Bundle",0.15,0.20)))</f>
        <v/>
      </c>
      <c r="P213">
        <f>IF(M213="Yes",C213&amp;"|anchor","")</f>
        <v/>
      </c>
      <c r="Q213">
        <f>IF(M213="Yes",B213,"")</f>
        <v/>
      </c>
    </row>
    <row r="214">
      <c r="A214">
        <f>Input_Data!A214</f>
        <v/>
      </c>
      <c r="B214">
        <f>Input_Data!B214</f>
        <v/>
      </c>
      <c r="C214">
        <f>Input_Data!C214</f>
        <v/>
      </c>
      <c r="D214">
        <f>IF(A214="","",SUM(Input_Data!D214:I214))</f>
        <v/>
      </c>
      <c r="E214">
        <f>IF(D214="","",D214/6)</f>
        <v/>
      </c>
      <c r="F214" s="2">
        <f>IF(D214="","",IF(COUNTA($D$2:$D$300)&lt;=1,0,PERCENTRANK.INC($D$2:$D$300,D214)))</f>
        <v/>
      </c>
      <c r="G214" s="2">
        <f>Input_Data!J214</f>
        <v/>
      </c>
      <c r="H214" s="2">
        <f>IF(G214="","",IF(COUNTA($G$2:$G$300)&lt;=1,0,PERCENTRANK.INC($G$2:$G$300,G214)))</f>
        <v/>
      </c>
      <c r="I214" s="2">
        <f>IF(F214="","",1-F214)</f>
        <v/>
      </c>
      <c r="J214" s="2">
        <f>IF(A214="","",0.6*I214+0.4*H214)</f>
        <v/>
      </c>
      <c r="K214">
        <f>IF(F214="","",IF(F214&lt;=0.33,"Low Movement",IF(F214&lt;=0.66,"Medium Movement","High Movement")))</f>
        <v/>
      </c>
      <c r="L214">
        <f>IF(J214="","",IF(J214&gt;=0.67,"High Value Bundle",IF(J214&gt;=0.34,"Medium Value Bundle","Low Value Bundle")))</f>
        <v/>
      </c>
      <c r="M214">
        <f>IF(A214="","",IF(AND(F214&gt;=0.66,H214&gt;=0.66),"Yes","No"))</f>
        <v/>
      </c>
      <c r="N214">
        <f>IF(A214="","",IF(K214="Low Movement","Yes","No"))</f>
        <v/>
      </c>
      <c r="O214" s="2">
        <f>IF(L214="","",IF(L214="High Value Bundle",0.10,IF(L214="Medium Value Bundle",0.15,0.20)))</f>
        <v/>
      </c>
      <c r="P214">
        <f>IF(M214="Yes",C214&amp;"|anchor","")</f>
        <v/>
      </c>
      <c r="Q214">
        <f>IF(M214="Yes",B214,"")</f>
        <v/>
      </c>
    </row>
    <row r="215">
      <c r="A215">
        <f>Input_Data!A215</f>
        <v/>
      </c>
      <c r="B215">
        <f>Input_Data!B215</f>
        <v/>
      </c>
      <c r="C215">
        <f>Input_Data!C215</f>
        <v/>
      </c>
      <c r="D215">
        <f>IF(A215="","",SUM(Input_Data!D215:I215))</f>
        <v/>
      </c>
      <c r="E215">
        <f>IF(D215="","",D215/6)</f>
        <v/>
      </c>
      <c r="F215" s="2">
        <f>IF(D215="","",IF(COUNTA($D$2:$D$300)&lt;=1,0,PERCENTRANK.INC($D$2:$D$300,D215)))</f>
        <v/>
      </c>
      <c r="G215" s="2">
        <f>Input_Data!J215</f>
        <v/>
      </c>
      <c r="H215" s="2">
        <f>IF(G215="","",IF(COUNTA($G$2:$G$300)&lt;=1,0,PERCENTRANK.INC($G$2:$G$300,G215)))</f>
        <v/>
      </c>
      <c r="I215" s="2">
        <f>IF(F215="","",1-F215)</f>
        <v/>
      </c>
      <c r="J215" s="2">
        <f>IF(A215="","",0.6*I215+0.4*H215)</f>
        <v/>
      </c>
      <c r="K215">
        <f>IF(F215="","",IF(F215&lt;=0.33,"Low Movement",IF(F215&lt;=0.66,"Medium Movement","High Movement")))</f>
        <v/>
      </c>
      <c r="L215">
        <f>IF(J215="","",IF(J215&gt;=0.67,"High Value Bundle",IF(J215&gt;=0.34,"Medium Value Bundle","Low Value Bundle")))</f>
        <v/>
      </c>
      <c r="M215">
        <f>IF(A215="","",IF(AND(F215&gt;=0.66,H215&gt;=0.66),"Yes","No"))</f>
        <v/>
      </c>
      <c r="N215">
        <f>IF(A215="","",IF(K215="Low Movement","Yes","No"))</f>
        <v/>
      </c>
      <c r="O215" s="2">
        <f>IF(L215="","",IF(L215="High Value Bundle",0.10,IF(L215="Medium Value Bundle",0.15,0.20)))</f>
        <v/>
      </c>
      <c r="P215">
        <f>IF(M215="Yes",C215&amp;"|anchor","")</f>
        <v/>
      </c>
      <c r="Q215">
        <f>IF(M215="Yes",B215,"")</f>
        <v/>
      </c>
    </row>
    <row r="216">
      <c r="A216">
        <f>Input_Data!A216</f>
        <v/>
      </c>
      <c r="B216">
        <f>Input_Data!B216</f>
        <v/>
      </c>
      <c r="C216">
        <f>Input_Data!C216</f>
        <v/>
      </c>
      <c r="D216">
        <f>IF(A216="","",SUM(Input_Data!D216:I216))</f>
        <v/>
      </c>
      <c r="E216">
        <f>IF(D216="","",D216/6)</f>
        <v/>
      </c>
      <c r="F216" s="2">
        <f>IF(D216="","",IF(COUNTA($D$2:$D$300)&lt;=1,0,PERCENTRANK.INC($D$2:$D$300,D216)))</f>
        <v/>
      </c>
      <c r="G216" s="2">
        <f>Input_Data!J216</f>
        <v/>
      </c>
      <c r="H216" s="2">
        <f>IF(G216="","",IF(COUNTA($G$2:$G$300)&lt;=1,0,PERCENTRANK.INC($G$2:$G$300,G216)))</f>
        <v/>
      </c>
      <c r="I216" s="2">
        <f>IF(F216="","",1-F216)</f>
        <v/>
      </c>
      <c r="J216" s="2">
        <f>IF(A216="","",0.6*I216+0.4*H216)</f>
        <v/>
      </c>
      <c r="K216">
        <f>IF(F216="","",IF(F216&lt;=0.33,"Low Movement",IF(F216&lt;=0.66,"Medium Movement","High Movement")))</f>
        <v/>
      </c>
      <c r="L216">
        <f>IF(J216="","",IF(J216&gt;=0.67,"High Value Bundle",IF(J216&gt;=0.34,"Medium Value Bundle","Low Value Bundle")))</f>
        <v/>
      </c>
      <c r="M216">
        <f>IF(A216="","",IF(AND(F216&gt;=0.66,H216&gt;=0.66),"Yes","No"))</f>
        <v/>
      </c>
      <c r="N216">
        <f>IF(A216="","",IF(K216="Low Movement","Yes","No"))</f>
        <v/>
      </c>
      <c r="O216" s="2">
        <f>IF(L216="","",IF(L216="High Value Bundle",0.10,IF(L216="Medium Value Bundle",0.15,0.20)))</f>
        <v/>
      </c>
      <c r="P216">
        <f>IF(M216="Yes",C216&amp;"|anchor","")</f>
        <v/>
      </c>
      <c r="Q216">
        <f>IF(M216="Yes",B216,"")</f>
        <v/>
      </c>
    </row>
    <row r="217">
      <c r="A217">
        <f>Input_Data!A217</f>
        <v/>
      </c>
      <c r="B217">
        <f>Input_Data!B217</f>
        <v/>
      </c>
      <c r="C217">
        <f>Input_Data!C217</f>
        <v/>
      </c>
      <c r="D217">
        <f>IF(A217="","",SUM(Input_Data!D217:I217))</f>
        <v/>
      </c>
      <c r="E217">
        <f>IF(D217="","",D217/6)</f>
        <v/>
      </c>
      <c r="F217" s="2">
        <f>IF(D217="","",IF(COUNTA($D$2:$D$300)&lt;=1,0,PERCENTRANK.INC($D$2:$D$300,D217)))</f>
        <v/>
      </c>
      <c r="G217" s="2">
        <f>Input_Data!J217</f>
        <v/>
      </c>
      <c r="H217" s="2">
        <f>IF(G217="","",IF(COUNTA($G$2:$G$300)&lt;=1,0,PERCENTRANK.INC($G$2:$G$300,G217)))</f>
        <v/>
      </c>
      <c r="I217" s="2">
        <f>IF(F217="","",1-F217)</f>
        <v/>
      </c>
      <c r="J217" s="2">
        <f>IF(A217="","",0.6*I217+0.4*H217)</f>
        <v/>
      </c>
      <c r="K217">
        <f>IF(F217="","",IF(F217&lt;=0.33,"Low Movement",IF(F217&lt;=0.66,"Medium Movement","High Movement")))</f>
        <v/>
      </c>
      <c r="L217">
        <f>IF(J217="","",IF(J217&gt;=0.67,"High Value Bundle",IF(J217&gt;=0.34,"Medium Value Bundle","Low Value Bundle")))</f>
        <v/>
      </c>
      <c r="M217">
        <f>IF(A217="","",IF(AND(F217&gt;=0.66,H217&gt;=0.66),"Yes","No"))</f>
        <v/>
      </c>
      <c r="N217">
        <f>IF(A217="","",IF(K217="Low Movement","Yes","No"))</f>
        <v/>
      </c>
      <c r="O217" s="2">
        <f>IF(L217="","",IF(L217="High Value Bundle",0.10,IF(L217="Medium Value Bundle",0.15,0.20)))</f>
        <v/>
      </c>
      <c r="P217">
        <f>IF(M217="Yes",C217&amp;"|anchor","")</f>
        <v/>
      </c>
      <c r="Q217">
        <f>IF(M217="Yes",B217,"")</f>
        <v/>
      </c>
    </row>
    <row r="218">
      <c r="A218">
        <f>Input_Data!A218</f>
        <v/>
      </c>
      <c r="B218">
        <f>Input_Data!B218</f>
        <v/>
      </c>
      <c r="C218">
        <f>Input_Data!C218</f>
        <v/>
      </c>
      <c r="D218">
        <f>IF(A218="","",SUM(Input_Data!D218:I218))</f>
        <v/>
      </c>
      <c r="E218">
        <f>IF(D218="","",D218/6)</f>
        <v/>
      </c>
      <c r="F218" s="2">
        <f>IF(D218="","",IF(COUNTA($D$2:$D$300)&lt;=1,0,PERCENTRANK.INC($D$2:$D$300,D218)))</f>
        <v/>
      </c>
      <c r="G218" s="2">
        <f>Input_Data!J218</f>
        <v/>
      </c>
      <c r="H218" s="2">
        <f>IF(G218="","",IF(COUNTA($G$2:$G$300)&lt;=1,0,PERCENTRANK.INC($G$2:$G$300,G218)))</f>
        <v/>
      </c>
      <c r="I218" s="2">
        <f>IF(F218="","",1-F218)</f>
        <v/>
      </c>
      <c r="J218" s="2">
        <f>IF(A218="","",0.6*I218+0.4*H218)</f>
        <v/>
      </c>
      <c r="K218">
        <f>IF(F218="","",IF(F218&lt;=0.33,"Low Movement",IF(F218&lt;=0.66,"Medium Movement","High Movement")))</f>
        <v/>
      </c>
      <c r="L218">
        <f>IF(J218="","",IF(J218&gt;=0.67,"High Value Bundle",IF(J218&gt;=0.34,"Medium Value Bundle","Low Value Bundle")))</f>
        <v/>
      </c>
      <c r="M218">
        <f>IF(A218="","",IF(AND(F218&gt;=0.66,H218&gt;=0.66),"Yes","No"))</f>
        <v/>
      </c>
      <c r="N218">
        <f>IF(A218="","",IF(K218="Low Movement","Yes","No"))</f>
        <v/>
      </c>
      <c r="O218" s="2">
        <f>IF(L218="","",IF(L218="High Value Bundle",0.10,IF(L218="Medium Value Bundle",0.15,0.20)))</f>
        <v/>
      </c>
      <c r="P218">
        <f>IF(M218="Yes",C218&amp;"|anchor","")</f>
        <v/>
      </c>
      <c r="Q218">
        <f>IF(M218="Yes",B218,"")</f>
        <v/>
      </c>
    </row>
    <row r="219">
      <c r="A219">
        <f>Input_Data!A219</f>
        <v/>
      </c>
      <c r="B219">
        <f>Input_Data!B219</f>
        <v/>
      </c>
      <c r="C219">
        <f>Input_Data!C219</f>
        <v/>
      </c>
      <c r="D219">
        <f>IF(A219="","",SUM(Input_Data!D219:I219))</f>
        <v/>
      </c>
      <c r="E219">
        <f>IF(D219="","",D219/6)</f>
        <v/>
      </c>
      <c r="F219" s="2">
        <f>IF(D219="","",IF(COUNTA($D$2:$D$300)&lt;=1,0,PERCENTRANK.INC($D$2:$D$300,D219)))</f>
        <v/>
      </c>
      <c r="G219" s="2">
        <f>Input_Data!J219</f>
        <v/>
      </c>
      <c r="H219" s="2">
        <f>IF(G219="","",IF(COUNTA($G$2:$G$300)&lt;=1,0,PERCENTRANK.INC($G$2:$G$300,G219)))</f>
        <v/>
      </c>
      <c r="I219" s="2">
        <f>IF(F219="","",1-F219)</f>
        <v/>
      </c>
      <c r="J219" s="2">
        <f>IF(A219="","",0.6*I219+0.4*H219)</f>
        <v/>
      </c>
      <c r="K219">
        <f>IF(F219="","",IF(F219&lt;=0.33,"Low Movement",IF(F219&lt;=0.66,"Medium Movement","High Movement")))</f>
        <v/>
      </c>
      <c r="L219">
        <f>IF(J219="","",IF(J219&gt;=0.67,"High Value Bundle",IF(J219&gt;=0.34,"Medium Value Bundle","Low Value Bundle")))</f>
        <v/>
      </c>
      <c r="M219">
        <f>IF(A219="","",IF(AND(F219&gt;=0.66,H219&gt;=0.66),"Yes","No"))</f>
        <v/>
      </c>
      <c r="N219">
        <f>IF(A219="","",IF(K219="Low Movement","Yes","No"))</f>
        <v/>
      </c>
      <c r="O219" s="2">
        <f>IF(L219="","",IF(L219="High Value Bundle",0.10,IF(L219="Medium Value Bundle",0.15,0.20)))</f>
        <v/>
      </c>
      <c r="P219">
        <f>IF(M219="Yes",C219&amp;"|anchor","")</f>
        <v/>
      </c>
      <c r="Q219">
        <f>IF(M219="Yes",B219,"")</f>
        <v/>
      </c>
    </row>
    <row r="220">
      <c r="A220">
        <f>Input_Data!A220</f>
        <v/>
      </c>
      <c r="B220">
        <f>Input_Data!B220</f>
        <v/>
      </c>
      <c r="C220">
        <f>Input_Data!C220</f>
        <v/>
      </c>
      <c r="D220">
        <f>IF(A220="","",SUM(Input_Data!D220:I220))</f>
        <v/>
      </c>
      <c r="E220">
        <f>IF(D220="","",D220/6)</f>
        <v/>
      </c>
      <c r="F220" s="2">
        <f>IF(D220="","",IF(COUNTA($D$2:$D$300)&lt;=1,0,PERCENTRANK.INC($D$2:$D$300,D220)))</f>
        <v/>
      </c>
      <c r="G220" s="2">
        <f>Input_Data!J220</f>
        <v/>
      </c>
      <c r="H220" s="2">
        <f>IF(G220="","",IF(COUNTA($G$2:$G$300)&lt;=1,0,PERCENTRANK.INC($G$2:$G$300,G220)))</f>
        <v/>
      </c>
      <c r="I220" s="2">
        <f>IF(F220="","",1-F220)</f>
        <v/>
      </c>
      <c r="J220" s="2">
        <f>IF(A220="","",0.6*I220+0.4*H220)</f>
        <v/>
      </c>
      <c r="K220">
        <f>IF(F220="","",IF(F220&lt;=0.33,"Low Movement",IF(F220&lt;=0.66,"Medium Movement","High Movement")))</f>
        <v/>
      </c>
      <c r="L220">
        <f>IF(J220="","",IF(J220&gt;=0.67,"High Value Bundle",IF(J220&gt;=0.34,"Medium Value Bundle","Low Value Bundle")))</f>
        <v/>
      </c>
      <c r="M220">
        <f>IF(A220="","",IF(AND(F220&gt;=0.66,H220&gt;=0.66),"Yes","No"))</f>
        <v/>
      </c>
      <c r="N220">
        <f>IF(A220="","",IF(K220="Low Movement","Yes","No"))</f>
        <v/>
      </c>
      <c r="O220" s="2">
        <f>IF(L220="","",IF(L220="High Value Bundle",0.10,IF(L220="Medium Value Bundle",0.15,0.20)))</f>
        <v/>
      </c>
      <c r="P220">
        <f>IF(M220="Yes",C220&amp;"|anchor","")</f>
        <v/>
      </c>
      <c r="Q220">
        <f>IF(M220="Yes",B220,"")</f>
        <v/>
      </c>
    </row>
    <row r="221">
      <c r="A221">
        <f>Input_Data!A221</f>
        <v/>
      </c>
      <c r="B221">
        <f>Input_Data!B221</f>
        <v/>
      </c>
      <c r="C221">
        <f>Input_Data!C221</f>
        <v/>
      </c>
      <c r="D221">
        <f>IF(A221="","",SUM(Input_Data!D221:I221))</f>
        <v/>
      </c>
      <c r="E221">
        <f>IF(D221="","",D221/6)</f>
        <v/>
      </c>
      <c r="F221" s="2">
        <f>IF(D221="","",IF(COUNTA($D$2:$D$300)&lt;=1,0,PERCENTRANK.INC($D$2:$D$300,D221)))</f>
        <v/>
      </c>
      <c r="G221" s="2">
        <f>Input_Data!J221</f>
        <v/>
      </c>
      <c r="H221" s="2">
        <f>IF(G221="","",IF(COUNTA($G$2:$G$300)&lt;=1,0,PERCENTRANK.INC($G$2:$G$300,G221)))</f>
        <v/>
      </c>
      <c r="I221" s="2">
        <f>IF(F221="","",1-F221)</f>
        <v/>
      </c>
      <c r="J221" s="2">
        <f>IF(A221="","",0.6*I221+0.4*H221)</f>
        <v/>
      </c>
      <c r="K221">
        <f>IF(F221="","",IF(F221&lt;=0.33,"Low Movement",IF(F221&lt;=0.66,"Medium Movement","High Movement")))</f>
        <v/>
      </c>
      <c r="L221">
        <f>IF(J221="","",IF(J221&gt;=0.67,"High Value Bundle",IF(J221&gt;=0.34,"Medium Value Bundle","Low Value Bundle")))</f>
        <v/>
      </c>
      <c r="M221">
        <f>IF(A221="","",IF(AND(F221&gt;=0.66,H221&gt;=0.66),"Yes","No"))</f>
        <v/>
      </c>
      <c r="N221">
        <f>IF(A221="","",IF(K221="Low Movement","Yes","No"))</f>
        <v/>
      </c>
      <c r="O221" s="2">
        <f>IF(L221="","",IF(L221="High Value Bundle",0.10,IF(L221="Medium Value Bundle",0.15,0.20)))</f>
        <v/>
      </c>
      <c r="P221">
        <f>IF(M221="Yes",C221&amp;"|anchor","")</f>
        <v/>
      </c>
      <c r="Q221">
        <f>IF(M221="Yes",B221,"")</f>
        <v/>
      </c>
    </row>
    <row r="222">
      <c r="A222">
        <f>Input_Data!A222</f>
        <v/>
      </c>
      <c r="B222">
        <f>Input_Data!B222</f>
        <v/>
      </c>
      <c r="C222">
        <f>Input_Data!C222</f>
        <v/>
      </c>
      <c r="D222">
        <f>IF(A222="","",SUM(Input_Data!D222:I222))</f>
        <v/>
      </c>
      <c r="E222">
        <f>IF(D222="","",D222/6)</f>
        <v/>
      </c>
      <c r="F222" s="2">
        <f>IF(D222="","",IF(COUNTA($D$2:$D$300)&lt;=1,0,PERCENTRANK.INC($D$2:$D$300,D222)))</f>
        <v/>
      </c>
      <c r="G222" s="2">
        <f>Input_Data!J222</f>
        <v/>
      </c>
      <c r="H222" s="2">
        <f>IF(G222="","",IF(COUNTA($G$2:$G$300)&lt;=1,0,PERCENTRANK.INC($G$2:$G$300,G222)))</f>
        <v/>
      </c>
      <c r="I222" s="2">
        <f>IF(F222="","",1-F222)</f>
        <v/>
      </c>
      <c r="J222" s="2">
        <f>IF(A222="","",0.6*I222+0.4*H222)</f>
        <v/>
      </c>
      <c r="K222">
        <f>IF(F222="","",IF(F222&lt;=0.33,"Low Movement",IF(F222&lt;=0.66,"Medium Movement","High Movement")))</f>
        <v/>
      </c>
      <c r="L222">
        <f>IF(J222="","",IF(J222&gt;=0.67,"High Value Bundle",IF(J222&gt;=0.34,"Medium Value Bundle","Low Value Bundle")))</f>
        <v/>
      </c>
      <c r="M222">
        <f>IF(A222="","",IF(AND(F222&gt;=0.66,H222&gt;=0.66),"Yes","No"))</f>
        <v/>
      </c>
      <c r="N222">
        <f>IF(A222="","",IF(K222="Low Movement","Yes","No"))</f>
        <v/>
      </c>
      <c r="O222" s="2">
        <f>IF(L222="","",IF(L222="High Value Bundle",0.10,IF(L222="Medium Value Bundle",0.15,0.20)))</f>
        <v/>
      </c>
      <c r="P222">
        <f>IF(M222="Yes",C222&amp;"|anchor","")</f>
        <v/>
      </c>
      <c r="Q222">
        <f>IF(M222="Yes",B222,"")</f>
        <v/>
      </c>
    </row>
    <row r="223">
      <c r="A223">
        <f>Input_Data!A223</f>
        <v/>
      </c>
      <c r="B223">
        <f>Input_Data!B223</f>
        <v/>
      </c>
      <c r="C223">
        <f>Input_Data!C223</f>
        <v/>
      </c>
      <c r="D223">
        <f>IF(A223="","",SUM(Input_Data!D223:I223))</f>
        <v/>
      </c>
      <c r="E223">
        <f>IF(D223="","",D223/6)</f>
        <v/>
      </c>
      <c r="F223" s="2">
        <f>IF(D223="","",IF(COUNTA($D$2:$D$300)&lt;=1,0,PERCENTRANK.INC($D$2:$D$300,D223)))</f>
        <v/>
      </c>
      <c r="G223" s="2">
        <f>Input_Data!J223</f>
        <v/>
      </c>
      <c r="H223" s="2">
        <f>IF(G223="","",IF(COUNTA($G$2:$G$300)&lt;=1,0,PERCENTRANK.INC($G$2:$G$300,G223)))</f>
        <v/>
      </c>
      <c r="I223" s="2">
        <f>IF(F223="","",1-F223)</f>
        <v/>
      </c>
      <c r="J223" s="2">
        <f>IF(A223="","",0.6*I223+0.4*H223)</f>
        <v/>
      </c>
      <c r="K223">
        <f>IF(F223="","",IF(F223&lt;=0.33,"Low Movement",IF(F223&lt;=0.66,"Medium Movement","High Movement")))</f>
        <v/>
      </c>
      <c r="L223">
        <f>IF(J223="","",IF(J223&gt;=0.67,"High Value Bundle",IF(J223&gt;=0.34,"Medium Value Bundle","Low Value Bundle")))</f>
        <v/>
      </c>
      <c r="M223">
        <f>IF(A223="","",IF(AND(F223&gt;=0.66,H223&gt;=0.66),"Yes","No"))</f>
        <v/>
      </c>
      <c r="N223">
        <f>IF(A223="","",IF(K223="Low Movement","Yes","No"))</f>
        <v/>
      </c>
      <c r="O223" s="2">
        <f>IF(L223="","",IF(L223="High Value Bundle",0.10,IF(L223="Medium Value Bundle",0.15,0.20)))</f>
        <v/>
      </c>
      <c r="P223">
        <f>IF(M223="Yes",C223&amp;"|anchor","")</f>
        <v/>
      </c>
      <c r="Q223">
        <f>IF(M223="Yes",B223,"")</f>
        <v/>
      </c>
    </row>
    <row r="224">
      <c r="A224">
        <f>Input_Data!A224</f>
        <v/>
      </c>
      <c r="B224">
        <f>Input_Data!B224</f>
        <v/>
      </c>
      <c r="C224">
        <f>Input_Data!C224</f>
        <v/>
      </c>
      <c r="D224">
        <f>IF(A224="","",SUM(Input_Data!D224:I224))</f>
        <v/>
      </c>
      <c r="E224">
        <f>IF(D224="","",D224/6)</f>
        <v/>
      </c>
      <c r="F224" s="2">
        <f>IF(D224="","",IF(COUNTA($D$2:$D$300)&lt;=1,0,PERCENTRANK.INC($D$2:$D$300,D224)))</f>
        <v/>
      </c>
      <c r="G224" s="2">
        <f>Input_Data!J224</f>
        <v/>
      </c>
      <c r="H224" s="2">
        <f>IF(G224="","",IF(COUNTA($G$2:$G$300)&lt;=1,0,PERCENTRANK.INC($G$2:$G$300,G224)))</f>
        <v/>
      </c>
      <c r="I224" s="2">
        <f>IF(F224="","",1-F224)</f>
        <v/>
      </c>
      <c r="J224" s="2">
        <f>IF(A224="","",0.6*I224+0.4*H224)</f>
        <v/>
      </c>
      <c r="K224">
        <f>IF(F224="","",IF(F224&lt;=0.33,"Low Movement",IF(F224&lt;=0.66,"Medium Movement","High Movement")))</f>
        <v/>
      </c>
      <c r="L224">
        <f>IF(J224="","",IF(J224&gt;=0.67,"High Value Bundle",IF(J224&gt;=0.34,"Medium Value Bundle","Low Value Bundle")))</f>
        <v/>
      </c>
      <c r="M224">
        <f>IF(A224="","",IF(AND(F224&gt;=0.66,H224&gt;=0.66),"Yes","No"))</f>
        <v/>
      </c>
      <c r="N224">
        <f>IF(A224="","",IF(K224="Low Movement","Yes","No"))</f>
        <v/>
      </c>
      <c r="O224" s="2">
        <f>IF(L224="","",IF(L224="High Value Bundle",0.10,IF(L224="Medium Value Bundle",0.15,0.20)))</f>
        <v/>
      </c>
      <c r="P224">
        <f>IF(M224="Yes",C224&amp;"|anchor","")</f>
        <v/>
      </c>
      <c r="Q224">
        <f>IF(M224="Yes",B224,"")</f>
        <v/>
      </c>
    </row>
    <row r="225">
      <c r="A225">
        <f>Input_Data!A225</f>
        <v/>
      </c>
      <c r="B225">
        <f>Input_Data!B225</f>
        <v/>
      </c>
      <c r="C225">
        <f>Input_Data!C225</f>
        <v/>
      </c>
      <c r="D225">
        <f>IF(A225="","",SUM(Input_Data!D225:I225))</f>
        <v/>
      </c>
      <c r="E225">
        <f>IF(D225="","",D225/6)</f>
        <v/>
      </c>
      <c r="F225" s="2">
        <f>IF(D225="","",IF(COUNTA($D$2:$D$300)&lt;=1,0,PERCENTRANK.INC($D$2:$D$300,D225)))</f>
        <v/>
      </c>
      <c r="G225" s="2">
        <f>Input_Data!J225</f>
        <v/>
      </c>
      <c r="H225" s="2">
        <f>IF(G225="","",IF(COUNTA($G$2:$G$300)&lt;=1,0,PERCENTRANK.INC($G$2:$G$300,G225)))</f>
        <v/>
      </c>
      <c r="I225" s="2">
        <f>IF(F225="","",1-F225)</f>
        <v/>
      </c>
      <c r="J225" s="2">
        <f>IF(A225="","",0.6*I225+0.4*H225)</f>
        <v/>
      </c>
      <c r="K225">
        <f>IF(F225="","",IF(F225&lt;=0.33,"Low Movement",IF(F225&lt;=0.66,"Medium Movement","High Movement")))</f>
        <v/>
      </c>
      <c r="L225">
        <f>IF(J225="","",IF(J225&gt;=0.67,"High Value Bundle",IF(J225&gt;=0.34,"Medium Value Bundle","Low Value Bundle")))</f>
        <v/>
      </c>
      <c r="M225">
        <f>IF(A225="","",IF(AND(F225&gt;=0.66,H225&gt;=0.66),"Yes","No"))</f>
        <v/>
      </c>
      <c r="N225">
        <f>IF(A225="","",IF(K225="Low Movement","Yes","No"))</f>
        <v/>
      </c>
      <c r="O225" s="2">
        <f>IF(L225="","",IF(L225="High Value Bundle",0.10,IF(L225="Medium Value Bundle",0.15,0.20)))</f>
        <v/>
      </c>
      <c r="P225">
        <f>IF(M225="Yes",C225&amp;"|anchor","")</f>
        <v/>
      </c>
      <c r="Q225">
        <f>IF(M225="Yes",B225,"")</f>
        <v/>
      </c>
    </row>
    <row r="226">
      <c r="A226">
        <f>Input_Data!A226</f>
        <v/>
      </c>
      <c r="B226">
        <f>Input_Data!B226</f>
        <v/>
      </c>
      <c r="C226">
        <f>Input_Data!C226</f>
        <v/>
      </c>
      <c r="D226">
        <f>IF(A226="","",SUM(Input_Data!D226:I226))</f>
        <v/>
      </c>
      <c r="E226">
        <f>IF(D226="","",D226/6)</f>
        <v/>
      </c>
      <c r="F226" s="2">
        <f>IF(D226="","",IF(COUNTA($D$2:$D$300)&lt;=1,0,PERCENTRANK.INC($D$2:$D$300,D226)))</f>
        <v/>
      </c>
      <c r="G226" s="2">
        <f>Input_Data!J226</f>
        <v/>
      </c>
      <c r="H226" s="2">
        <f>IF(G226="","",IF(COUNTA($G$2:$G$300)&lt;=1,0,PERCENTRANK.INC($G$2:$G$300,G226)))</f>
        <v/>
      </c>
      <c r="I226" s="2">
        <f>IF(F226="","",1-F226)</f>
        <v/>
      </c>
      <c r="J226" s="2">
        <f>IF(A226="","",0.6*I226+0.4*H226)</f>
        <v/>
      </c>
      <c r="K226">
        <f>IF(F226="","",IF(F226&lt;=0.33,"Low Movement",IF(F226&lt;=0.66,"Medium Movement","High Movement")))</f>
        <v/>
      </c>
      <c r="L226">
        <f>IF(J226="","",IF(J226&gt;=0.67,"High Value Bundle",IF(J226&gt;=0.34,"Medium Value Bundle","Low Value Bundle")))</f>
        <v/>
      </c>
      <c r="M226">
        <f>IF(A226="","",IF(AND(F226&gt;=0.66,H226&gt;=0.66),"Yes","No"))</f>
        <v/>
      </c>
      <c r="N226">
        <f>IF(A226="","",IF(K226="Low Movement","Yes","No"))</f>
        <v/>
      </c>
      <c r="O226" s="2">
        <f>IF(L226="","",IF(L226="High Value Bundle",0.10,IF(L226="Medium Value Bundle",0.15,0.20)))</f>
        <v/>
      </c>
      <c r="P226">
        <f>IF(M226="Yes",C226&amp;"|anchor","")</f>
        <v/>
      </c>
      <c r="Q226">
        <f>IF(M226="Yes",B226,"")</f>
        <v/>
      </c>
    </row>
    <row r="227">
      <c r="A227">
        <f>Input_Data!A227</f>
        <v/>
      </c>
      <c r="B227">
        <f>Input_Data!B227</f>
        <v/>
      </c>
      <c r="C227">
        <f>Input_Data!C227</f>
        <v/>
      </c>
      <c r="D227">
        <f>IF(A227="","",SUM(Input_Data!D227:I227))</f>
        <v/>
      </c>
      <c r="E227">
        <f>IF(D227="","",D227/6)</f>
        <v/>
      </c>
      <c r="F227" s="2">
        <f>IF(D227="","",IF(COUNTA($D$2:$D$300)&lt;=1,0,PERCENTRANK.INC($D$2:$D$300,D227)))</f>
        <v/>
      </c>
      <c r="G227" s="2">
        <f>Input_Data!J227</f>
        <v/>
      </c>
      <c r="H227" s="2">
        <f>IF(G227="","",IF(COUNTA($G$2:$G$300)&lt;=1,0,PERCENTRANK.INC($G$2:$G$300,G227)))</f>
        <v/>
      </c>
      <c r="I227" s="2">
        <f>IF(F227="","",1-F227)</f>
        <v/>
      </c>
      <c r="J227" s="2">
        <f>IF(A227="","",0.6*I227+0.4*H227)</f>
        <v/>
      </c>
      <c r="K227">
        <f>IF(F227="","",IF(F227&lt;=0.33,"Low Movement",IF(F227&lt;=0.66,"Medium Movement","High Movement")))</f>
        <v/>
      </c>
      <c r="L227">
        <f>IF(J227="","",IF(J227&gt;=0.67,"High Value Bundle",IF(J227&gt;=0.34,"Medium Value Bundle","Low Value Bundle")))</f>
        <v/>
      </c>
      <c r="M227">
        <f>IF(A227="","",IF(AND(F227&gt;=0.66,H227&gt;=0.66),"Yes","No"))</f>
        <v/>
      </c>
      <c r="N227">
        <f>IF(A227="","",IF(K227="Low Movement","Yes","No"))</f>
        <v/>
      </c>
      <c r="O227" s="2">
        <f>IF(L227="","",IF(L227="High Value Bundle",0.10,IF(L227="Medium Value Bundle",0.15,0.20)))</f>
        <v/>
      </c>
      <c r="P227">
        <f>IF(M227="Yes",C227&amp;"|anchor","")</f>
        <v/>
      </c>
      <c r="Q227">
        <f>IF(M227="Yes",B227,"")</f>
        <v/>
      </c>
    </row>
    <row r="228">
      <c r="A228">
        <f>Input_Data!A228</f>
        <v/>
      </c>
      <c r="B228">
        <f>Input_Data!B228</f>
        <v/>
      </c>
      <c r="C228">
        <f>Input_Data!C228</f>
        <v/>
      </c>
      <c r="D228">
        <f>IF(A228="","",SUM(Input_Data!D228:I228))</f>
        <v/>
      </c>
      <c r="E228">
        <f>IF(D228="","",D228/6)</f>
        <v/>
      </c>
      <c r="F228" s="2">
        <f>IF(D228="","",IF(COUNTA($D$2:$D$300)&lt;=1,0,PERCENTRANK.INC($D$2:$D$300,D228)))</f>
        <v/>
      </c>
      <c r="G228" s="2">
        <f>Input_Data!J228</f>
        <v/>
      </c>
      <c r="H228" s="2">
        <f>IF(G228="","",IF(COUNTA($G$2:$G$300)&lt;=1,0,PERCENTRANK.INC($G$2:$G$300,G228)))</f>
        <v/>
      </c>
      <c r="I228" s="2">
        <f>IF(F228="","",1-F228)</f>
        <v/>
      </c>
      <c r="J228" s="2">
        <f>IF(A228="","",0.6*I228+0.4*H228)</f>
        <v/>
      </c>
      <c r="K228">
        <f>IF(F228="","",IF(F228&lt;=0.33,"Low Movement",IF(F228&lt;=0.66,"Medium Movement","High Movement")))</f>
        <v/>
      </c>
      <c r="L228">
        <f>IF(J228="","",IF(J228&gt;=0.67,"High Value Bundle",IF(J228&gt;=0.34,"Medium Value Bundle","Low Value Bundle")))</f>
        <v/>
      </c>
      <c r="M228">
        <f>IF(A228="","",IF(AND(F228&gt;=0.66,H228&gt;=0.66),"Yes","No"))</f>
        <v/>
      </c>
      <c r="N228">
        <f>IF(A228="","",IF(K228="Low Movement","Yes","No"))</f>
        <v/>
      </c>
      <c r="O228" s="2">
        <f>IF(L228="","",IF(L228="High Value Bundle",0.10,IF(L228="Medium Value Bundle",0.15,0.20)))</f>
        <v/>
      </c>
      <c r="P228">
        <f>IF(M228="Yes",C228&amp;"|anchor","")</f>
        <v/>
      </c>
      <c r="Q228">
        <f>IF(M228="Yes",B228,"")</f>
        <v/>
      </c>
    </row>
    <row r="229">
      <c r="A229">
        <f>Input_Data!A229</f>
        <v/>
      </c>
      <c r="B229">
        <f>Input_Data!B229</f>
        <v/>
      </c>
      <c r="C229">
        <f>Input_Data!C229</f>
        <v/>
      </c>
      <c r="D229">
        <f>IF(A229="","",SUM(Input_Data!D229:I229))</f>
        <v/>
      </c>
      <c r="E229">
        <f>IF(D229="","",D229/6)</f>
        <v/>
      </c>
      <c r="F229" s="2">
        <f>IF(D229="","",IF(COUNTA($D$2:$D$300)&lt;=1,0,PERCENTRANK.INC($D$2:$D$300,D229)))</f>
        <v/>
      </c>
      <c r="G229" s="2">
        <f>Input_Data!J229</f>
        <v/>
      </c>
      <c r="H229" s="2">
        <f>IF(G229="","",IF(COUNTA($G$2:$G$300)&lt;=1,0,PERCENTRANK.INC($G$2:$G$300,G229)))</f>
        <v/>
      </c>
      <c r="I229" s="2">
        <f>IF(F229="","",1-F229)</f>
        <v/>
      </c>
      <c r="J229" s="2">
        <f>IF(A229="","",0.6*I229+0.4*H229)</f>
        <v/>
      </c>
      <c r="K229">
        <f>IF(F229="","",IF(F229&lt;=0.33,"Low Movement",IF(F229&lt;=0.66,"Medium Movement","High Movement")))</f>
        <v/>
      </c>
      <c r="L229">
        <f>IF(J229="","",IF(J229&gt;=0.67,"High Value Bundle",IF(J229&gt;=0.34,"Medium Value Bundle","Low Value Bundle")))</f>
        <v/>
      </c>
      <c r="M229">
        <f>IF(A229="","",IF(AND(F229&gt;=0.66,H229&gt;=0.66),"Yes","No"))</f>
        <v/>
      </c>
      <c r="N229">
        <f>IF(A229="","",IF(K229="Low Movement","Yes","No"))</f>
        <v/>
      </c>
      <c r="O229" s="2">
        <f>IF(L229="","",IF(L229="High Value Bundle",0.10,IF(L229="Medium Value Bundle",0.15,0.20)))</f>
        <v/>
      </c>
      <c r="P229">
        <f>IF(M229="Yes",C229&amp;"|anchor","")</f>
        <v/>
      </c>
      <c r="Q229">
        <f>IF(M229="Yes",B229,"")</f>
        <v/>
      </c>
    </row>
    <row r="230">
      <c r="A230">
        <f>Input_Data!A230</f>
        <v/>
      </c>
      <c r="B230">
        <f>Input_Data!B230</f>
        <v/>
      </c>
      <c r="C230">
        <f>Input_Data!C230</f>
        <v/>
      </c>
      <c r="D230">
        <f>IF(A230="","",SUM(Input_Data!D230:I230))</f>
        <v/>
      </c>
      <c r="E230">
        <f>IF(D230="","",D230/6)</f>
        <v/>
      </c>
      <c r="F230" s="2">
        <f>IF(D230="","",IF(COUNTA($D$2:$D$300)&lt;=1,0,PERCENTRANK.INC($D$2:$D$300,D230)))</f>
        <v/>
      </c>
      <c r="G230" s="2">
        <f>Input_Data!J230</f>
        <v/>
      </c>
      <c r="H230" s="2">
        <f>IF(G230="","",IF(COUNTA($G$2:$G$300)&lt;=1,0,PERCENTRANK.INC($G$2:$G$300,G230)))</f>
        <v/>
      </c>
      <c r="I230" s="2">
        <f>IF(F230="","",1-F230)</f>
        <v/>
      </c>
      <c r="J230" s="2">
        <f>IF(A230="","",0.6*I230+0.4*H230)</f>
        <v/>
      </c>
      <c r="K230">
        <f>IF(F230="","",IF(F230&lt;=0.33,"Low Movement",IF(F230&lt;=0.66,"Medium Movement","High Movement")))</f>
        <v/>
      </c>
      <c r="L230">
        <f>IF(J230="","",IF(J230&gt;=0.67,"High Value Bundle",IF(J230&gt;=0.34,"Medium Value Bundle","Low Value Bundle")))</f>
        <v/>
      </c>
      <c r="M230">
        <f>IF(A230="","",IF(AND(F230&gt;=0.66,H230&gt;=0.66),"Yes","No"))</f>
        <v/>
      </c>
      <c r="N230">
        <f>IF(A230="","",IF(K230="Low Movement","Yes","No"))</f>
        <v/>
      </c>
      <c r="O230" s="2">
        <f>IF(L230="","",IF(L230="High Value Bundle",0.10,IF(L230="Medium Value Bundle",0.15,0.20)))</f>
        <v/>
      </c>
      <c r="P230">
        <f>IF(M230="Yes",C230&amp;"|anchor","")</f>
        <v/>
      </c>
      <c r="Q230">
        <f>IF(M230="Yes",B230,"")</f>
        <v/>
      </c>
    </row>
    <row r="231">
      <c r="A231">
        <f>Input_Data!A231</f>
        <v/>
      </c>
      <c r="B231">
        <f>Input_Data!B231</f>
        <v/>
      </c>
      <c r="C231">
        <f>Input_Data!C231</f>
        <v/>
      </c>
      <c r="D231">
        <f>IF(A231="","",SUM(Input_Data!D231:I231))</f>
        <v/>
      </c>
      <c r="E231">
        <f>IF(D231="","",D231/6)</f>
        <v/>
      </c>
      <c r="F231" s="2">
        <f>IF(D231="","",IF(COUNTA($D$2:$D$300)&lt;=1,0,PERCENTRANK.INC($D$2:$D$300,D231)))</f>
        <v/>
      </c>
      <c r="G231" s="2">
        <f>Input_Data!J231</f>
        <v/>
      </c>
      <c r="H231" s="2">
        <f>IF(G231="","",IF(COUNTA($G$2:$G$300)&lt;=1,0,PERCENTRANK.INC($G$2:$G$300,G231)))</f>
        <v/>
      </c>
      <c r="I231" s="2">
        <f>IF(F231="","",1-F231)</f>
        <v/>
      </c>
      <c r="J231" s="2">
        <f>IF(A231="","",0.6*I231+0.4*H231)</f>
        <v/>
      </c>
      <c r="K231">
        <f>IF(F231="","",IF(F231&lt;=0.33,"Low Movement",IF(F231&lt;=0.66,"Medium Movement","High Movement")))</f>
        <v/>
      </c>
      <c r="L231">
        <f>IF(J231="","",IF(J231&gt;=0.67,"High Value Bundle",IF(J231&gt;=0.34,"Medium Value Bundle","Low Value Bundle")))</f>
        <v/>
      </c>
      <c r="M231">
        <f>IF(A231="","",IF(AND(F231&gt;=0.66,H231&gt;=0.66),"Yes","No"))</f>
        <v/>
      </c>
      <c r="N231">
        <f>IF(A231="","",IF(K231="Low Movement","Yes","No"))</f>
        <v/>
      </c>
      <c r="O231" s="2">
        <f>IF(L231="","",IF(L231="High Value Bundle",0.10,IF(L231="Medium Value Bundle",0.15,0.20)))</f>
        <v/>
      </c>
      <c r="P231">
        <f>IF(M231="Yes",C231&amp;"|anchor","")</f>
        <v/>
      </c>
      <c r="Q231">
        <f>IF(M231="Yes",B231,"")</f>
        <v/>
      </c>
    </row>
    <row r="232">
      <c r="A232">
        <f>Input_Data!A232</f>
        <v/>
      </c>
      <c r="B232">
        <f>Input_Data!B232</f>
        <v/>
      </c>
      <c r="C232">
        <f>Input_Data!C232</f>
        <v/>
      </c>
      <c r="D232">
        <f>IF(A232="","",SUM(Input_Data!D232:I232))</f>
        <v/>
      </c>
      <c r="E232">
        <f>IF(D232="","",D232/6)</f>
        <v/>
      </c>
      <c r="F232" s="2">
        <f>IF(D232="","",IF(COUNTA($D$2:$D$300)&lt;=1,0,PERCENTRANK.INC($D$2:$D$300,D232)))</f>
        <v/>
      </c>
      <c r="G232" s="2">
        <f>Input_Data!J232</f>
        <v/>
      </c>
      <c r="H232" s="2">
        <f>IF(G232="","",IF(COUNTA($G$2:$G$300)&lt;=1,0,PERCENTRANK.INC($G$2:$G$300,G232)))</f>
        <v/>
      </c>
      <c r="I232" s="2">
        <f>IF(F232="","",1-F232)</f>
        <v/>
      </c>
      <c r="J232" s="2">
        <f>IF(A232="","",0.6*I232+0.4*H232)</f>
        <v/>
      </c>
      <c r="K232">
        <f>IF(F232="","",IF(F232&lt;=0.33,"Low Movement",IF(F232&lt;=0.66,"Medium Movement","High Movement")))</f>
        <v/>
      </c>
      <c r="L232">
        <f>IF(J232="","",IF(J232&gt;=0.67,"High Value Bundle",IF(J232&gt;=0.34,"Medium Value Bundle","Low Value Bundle")))</f>
        <v/>
      </c>
      <c r="M232">
        <f>IF(A232="","",IF(AND(F232&gt;=0.66,H232&gt;=0.66),"Yes","No"))</f>
        <v/>
      </c>
      <c r="N232">
        <f>IF(A232="","",IF(K232="Low Movement","Yes","No"))</f>
        <v/>
      </c>
      <c r="O232" s="2">
        <f>IF(L232="","",IF(L232="High Value Bundle",0.10,IF(L232="Medium Value Bundle",0.15,0.20)))</f>
        <v/>
      </c>
      <c r="P232">
        <f>IF(M232="Yes",C232&amp;"|anchor","")</f>
        <v/>
      </c>
      <c r="Q232">
        <f>IF(M232="Yes",B232,"")</f>
        <v/>
      </c>
    </row>
    <row r="233">
      <c r="A233">
        <f>Input_Data!A233</f>
        <v/>
      </c>
      <c r="B233">
        <f>Input_Data!B233</f>
        <v/>
      </c>
      <c r="C233">
        <f>Input_Data!C233</f>
        <v/>
      </c>
      <c r="D233">
        <f>IF(A233="","",SUM(Input_Data!D233:I233))</f>
        <v/>
      </c>
      <c r="E233">
        <f>IF(D233="","",D233/6)</f>
        <v/>
      </c>
      <c r="F233" s="2">
        <f>IF(D233="","",IF(COUNTA($D$2:$D$300)&lt;=1,0,PERCENTRANK.INC($D$2:$D$300,D233)))</f>
        <v/>
      </c>
      <c r="G233" s="2">
        <f>Input_Data!J233</f>
        <v/>
      </c>
      <c r="H233" s="2">
        <f>IF(G233="","",IF(COUNTA($G$2:$G$300)&lt;=1,0,PERCENTRANK.INC($G$2:$G$300,G233)))</f>
        <v/>
      </c>
      <c r="I233" s="2">
        <f>IF(F233="","",1-F233)</f>
        <v/>
      </c>
      <c r="J233" s="2">
        <f>IF(A233="","",0.6*I233+0.4*H233)</f>
        <v/>
      </c>
      <c r="K233">
        <f>IF(F233="","",IF(F233&lt;=0.33,"Low Movement",IF(F233&lt;=0.66,"Medium Movement","High Movement")))</f>
        <v/>
      </c>
      <c r="L233">
        <f>IF(J233="","",IF(J233&gt;=0.67,"High Value Bundle",IF(J233&gt;=0.34,"Medium Value Bundle","Low Value Bundle")))</f>
        <v/>
      </c>
      <c r="M233">
        <f>IF(A233="","",IF(AND(F233&gt;=0.66,H233&gt;=0.66),"Yes","No"))</f>
        <v/>
      </c>
      <c r="N233">
        <f>IF(A233="","",IF(K233="Low Movement","Yes","No"))</f>
        <v/>
      </c>
      <c r="O233" s="2">
        <f>IF(L233="","",IF(L233="High Value Bundle",0.10,IF(L233="Medium Value Bundle",0.15,0.20)))</f>
        <v/>
      </c>
      <c r="P233">
        <f>IF(M233="Yes",C233&amp;"|anchor","")</f>
        <v/>
      </c>
      <c r="Q233">
        <f>IF(M233="Yes",B233,"")</f>
        <v/>
      </c>
    </row>
    <row r="234">
      <c r="A234">
        <f>Input_Data!A234</f>
        <v/>
      </c>
      <c r="B234">
        <f>Input_Data!B234</f>
        <v/>
      </c>
      <c r="C234">
        <f>Input_Data!C234</f>
        <v/>
      </c>
      <c r="D234">
        <f>IF(A234="","",SUM(Input_Data!D234:I234))</f>
        <v/>
      </c>
      <c r="E234">
        <f>IF(D234="","",D234/6)</f>
        <v/>
      </c>
      <c r="F234" s="2">
        <f>IF(D234="","",IF(COUNTA($D$2:$D$300)&lt;=1,0,PERCENTRANK.INC($D$2:$D$300,D234)))</f>
        <v/>
      </c>
      <c r="G234" s="2">
        <f>Input_Data!J234</f>
        <v/>
      </c>
      <c r="H234" s="2">
        <f>IF(G234="","",IF(COUNTA($G$2:$G$300)&lt;=1,0,PERCENTRANK.INC($G$2:$G$300,G234)))</f>
        <v/>
      </c>
      <c r="I234" s="2">
        <f>IF(F234="","",1-F234)</f>
        <v/>
      </c>
      <c r="J234" s="2">
        <f>IF(A234="","",0.6*I234+0.4*H234)</f>
        <v/>
      </c>
      <c r="K234">
        <f>IF(F234="","",IF(F234&lt;=0.33,"Low Movement",IF(F234&lt;=0.66,"Medium Movement","High Movement")))</f>
        <v/>
      </c>
      <c r="L234">
        <f>IF(J234="","",IF(J234&gt;=0.67,"High Value Bundle",IF(J234&gt;=0.34,"Medium Value Bundle","Low Value Bundle")))</f>
        <v/>
      </c>
      <c r="M234">
        <f>IF(A234="","",IF(AND(F234&gt;=0.66,H234&gt;=0.66),"Yes","No"))</f>
        <v/>
      </c>
      <c r="N234">
        <f>IF(A234="","",IF(K234="Low Movement","Yes","No"))</f>
        <v/>
      </c>
      <c r="O234" s="2">
        <f>IF(L234="","",IF(L234="High Value Bundle",0.10,IF(L234="Medium Value Bundle",0.15,0.20)))</f>
        <v/>
      </c>
      <c r="P234">
        <f>IF(M234="Yes",C234&amp;"|anchor","")</f>
        <v/>
      </c>
      <c r="Q234">
        <f>IF(M234="Yes",B234,"")</f>
        <v/>
      </c>
    </row>
    <row r="235">
      <c r="A235">
        <f>Input_Data!A235</f>
        <v/>
      </c>
      <c r="B235">
        <f>Input_Data!B235</f>
        <v/>
      </c>
      <c r="C235">
        <f>Input_Data!C235</f>
        <v/>
      </c>
      <c r="D235">
        <f>IF(A235="","",SUM(Input_Data!D235:I235))</f>
        <v/>
      </c>
      <c r="E235">
        <f>IF(D235="","",D235/6)</f>
        <v/>
      </c>
      <c r="F235" s="2">
        <f>IF(D235="","",IF(COUNTA($D$2:$D$300)&lt;=1,0,PERCENTRANK.INC($D$2:$D$300,D235)))</f>
        <v/>
      </c>
      <c r="G235" s="2">
        <f>Input_Data!J235</f>
        <v/>
      </c>
      <c r="H235" s="2">
        <f>IF(G235="","",IF(COUNTA($G$2:$G$300)&lt;=1,0,PERCENTRANK.INC($G$2:$G$300,G235)))</f>
        <v/>
      </c>
      <c r="I235" s="2">
        <f>IF(F235="","",1-F235)</f>
        <v/>
      </c>
      <c r="J235" s="2">
        <f>IF(A235="","",0.6*I235+0.4*H235)</f>
        <v/>
      </c>
      <c r="K235">
        <f>IF(F235="","",IF(F235&lt;=0.33,"Low Movement",IF(F235&lt;=0.66,"Medium Movement","High Movement")))</f>
        <v/>
      </c>
      <c r="L235">
        <f>IF(J235="","",IF(J235&gt;=0.67,"High Value Bundle",IF(J235&gt;=0.34,"Medium Value Bundle","Low Value Bundle")))</f>
        <v/>
      </c>
      <c r="M235">
        <f>IF(A235="","",IF(AND(F235&gt;=0.66,H235&gt;=0.66),"Yes","No"))</f>
        <v/>
      </c>
      <c r="N235">
        <f>IF(A235="","",IF(K235="Low Movement","Yes","No"))</f>
        <v/>
      </c>
      <c r="O235" s="2">
        <f>IF(L235="","",IF(L235="High Value Bundle",0.10,IF(L235="Medium Value Bundle",0.15,0.20)))</f>
        <v/>
      </c>
      <c r="P235">
        <f>IF(M235="Yes",C235&amp;"|anchor","")</f>
        <v/>
      </c>
      <c r="Q235">
        <f>IF(M235="Yes",B235,"")</f>
        <v/>
      </c>
    </row>
    <row r="236">
      <c r="A236">
        <f>Input_Data!A236</f>
        <v/>
      </c>
      <c r="B236">
        <f>Input_Data!B236</f>
        <v/>
      </c>
      <c r="C236">
        <f>Input_Data!C236</f>
        <v/>
      </c>
      <c r="D236">
        <f>IF(A236="","",SUM(Input_Data!D236:I236))</f>
        <v/>
      </c>
      <c r="E236">
        <f>IF(D236="","",D236/6)</f>
        <v/>
      </c>
      <c r="F236" s="2">
        <f>IF(D236="","",IF(COUNTA($D$2:$D$300)&lt;=1,0,PERCENTRANK.INC($D$2:$D$300,D236)))</f>
        <v/>
      </c>
      <c r="G236" s="2">
        <f>Input_Data!J236</f>
        <v/>
      </c>
      <c r="H236" s="2">
        <f>IF(G236="","",IF(COUNTA($G$2:$G$300)&lt;=1,0,PERCENTRANK.INC($G$2:$G$300,G236)))</f>
        <v/>
      </c>
      <c r="I236" s="2">
        <f>IF(F236="","",1-F236)</f>
        <v/>
      </c>
      <c r="J236" s="2">
        <f>IF(A236="","",0.6*I236+0.4*H236)</f>
        <v/>
      </c>
      <c r="K236">
        <f>IF(F236="","",IF(F236&lt;=0.33,"Low Movement",IF(F236&lt;=0.66,"Medium Movement","High Movement")))</f>
        <v/>
      </c>
      <c r="L236">
        <f>IF(J236="","",IF(J236&gt;=0.67,"High Value Bundle",IF(J236&gt;=0.34,"Medium Value Bundle","Low Value Bundle")))</f>
        <v/>
      </c>
      <c r="M236">
        <f>IF(A236="","",IF(AND(F236&gt;=0.66,H236&gt;=0.66),"Yes","No"))</f>
        <v/>
      </c>
      <c r="N236">
        <f>IF(A236="","",IF(K236="Low Movement","Yes","No"))</f>
        <v/>
      </c>
      <c r="O236" s="2">
        <f>IF(L236="","",IF(L236="High Value Bundle",0.10,IF(L236="Medium Value Bundle",0.15,0.20)))</f>
        <v/>
      </c>
      <c r="P236">
        <f>IF(M236="Yes",C236&amp;"|anchor","")</f>
        <v/>
      </c>
      <c r="Q236">
        <f>IF(M236="Yes",B236,"")</f>
        <v/>
      </c>
    </row>
    <row r="237">
      <c r="A237">
        <f>Input_Data!A237</f>
        <v/>
      </c>
      <c r="B237">
        <f>Input_Data!B237</f>
        <v/>
      </c>
      <c r="C237">
        <f>Input_Data!C237</f>
        <v/>
      </c>
      <c r="D237">
        <f>IF(A237="","",SUM(Input_Data!D237:I237))</f>
        <v/>
      </c>
      <c r="E237">
        <f>IF(D237="","",D237/6)</f>
        <v/>
      </c>
      <c r="F237" s="2">
        <f>IF(D237="","",IF(COUNTA($D$2:$D$300)&lt;=1,0,PERCENTRANK.INC($D$2:$D$300,D237)))</f>
        <v/>
      </c>
      <c r="G237" s="2">
        <f>Input_Data!J237</f>
        <v/>
      </c>
      <c r="H237" s="2">
        <f>IF(G237="","",IF(COUNTA($G$2:$G$300)&lt;=1,0,PERCENTRANK.INC($G$2:$G$300,G237)))</f>
        <v/>
      </c>
      <c r="I237" s="2">
        <f>IF(F237="","",1-F237)</f>
        <v/>
      </c>
      <c r="J237" s="2">
        <f>IF(A237="","",0.6*I237+0.4*H237)</f>
        <v/>
      </c>
      <c r="K237">
        <f>IF(F237="","",IF(F237&lt;=0.33,"Low Movement",IF(F237&lt;=0.66,"Medium Movement","High Movement")))</f>
        <v/>
      </c>
      <c r="L237">
        <f>IF(J237="","",IF(J237&gt;=0.67,"High Value Bundle",IF(J237&gt;=0.34,"Medium Value Bundle","Low Value Bundle")))</f>
        <v/>
      </c>
      <c r="M237">
        <f>IF(A237="","",IF(AND(F237&gt;=0.66,H237&gt;=0.66),"Yes","No"))</f>
        <v/>
      </c>
      <c r="N237">
        <f>IF(A237="","",IF(K237="Low Movement","Yes","No"))</f>
        <v/>
      </c>
      <c r="O237" s="2">
        <f>IF(L237="","",IF(L237="High Value Bundle",0.10,IF(L237="Medium Value Bundle",0.15,0.20)))</f>
        <v/>
      </c>
      <c r="P237">
        <f>IF(M237="Yes",C237&amp;"|anchor","")</f>
        <v/>
      </c>
      <c r="Q237">
        <f>IF(M237="Yes",B237,"")</f>
        <v/>
      </c>
    </row>
    <row r="238">
      <c r="A238">
        <f>Input_Data!A238</f>
        <v/>
      </c>
      <c r="B238">
        <f>Input_Data!B238</f>
        <v/>
      </c>
      <c r="C238">
        <f>Input_Data!C238</f>
        <v/>
      </c>
      <c r="D238">
        <f>IF(A238="","",SUM(Input_Data!D238:I238))</f>
        <v/>
      </c>
      <c r="E238">
        <f>IF(D238="","",D238/6)</f>
        <v/>
      </c>
      <c r="F238" s="2">
        <f>IF(D238="","",IF(COUNTA($D$2:$D$300)&lt;=1,0,PERCENTRANK.INC($D$2:$D$300,D238)))</f>
        <v/>
      </c>
      <c r="G238" s="2">
        <f>Input_Data!J238</f>
        <v/>
      </c>
      <c r="H238" s="2">
        <f>IF(G238="","",IF(COUNTA($G$2:$G$300)&lt;=1,0,PERCENTRANK.INC($G$2:$G$300,G238)))</f>
        <v/>
      </c>
      <c r="I238" s="2">
        <f>IF(F238="","",1-F238)</f>
        <v/>
      </c>
      <c r="J238" s="2">
        <f>IF(A238="","",0.6*I238+0.4*H238)</f>
        <v/>
      </c>
      <c r="K238">
        <f>IF(F238="","",IF(F238&lt;=0.33,"Low Movement",IF(F238&lt;=0.66,"Medium Movement","High Movement")))</f>
        <v/>
      </c>
      <c r="L238">
        <f>IF(J238="","",IF(J238&gt;=0.67,"High Value Bundle",IF(J238&gt;=0.34,"Medium Value Bundle","Low Value Bundle")))</f>
        <v/>
      </c>
      <c r="M238">
        <f>IF(A238="","",IF(AND(F238&gt;=0.66,H238&gt;=0.66),"Yes","No"))</f>
        <v/>
      </c>
      <c r="N238">
        <f>IF(A238="","",IF(K238="Low Movement","Yes","No"))</f>
        <v/>
      </c>
      <c r="O238" s="2">
        <f>IF(L238="","",IF(L238="High Value Bundle",0.10,IF(L238="Medium Value Bundle",0.15,0.20)))</f>
        <v/>
      </c>
      <c r="P238">
        <f>IF(M238="Yes",C238&amp;"|anchor","")</f>
        <v/>
      </c>
      <c r="Q238">
        <f>IF(M238="Yes",B238,"")</f>
        <v/>
      </c>
    </row>
    <row r="239">
      <c r="A239">
        <f>Input_Data!A239</f>
        <v/>
      </c>
      <c r="B239">
        <f>Input_Data!B239</f>
        <v/>
      </c>
      <c r="C239">
        <f>Input_Data!C239</f>
        <v/>
      </c>
      <c r="D239">
        <f>IF(A239="","",SUM(Input_Data!D239:I239))</f>
        <v/>
      </c>
      <c r="E239">
        <f>IF(D239="","",D239/6)</f>
        <v/>
      </c>
      <c r="F239" s="2">
        <f>IF(D239="","",IF(COUNTA($D$2:$D$300)&lt;=1,0,PERCENTRANK.INC($D$2:$D$300,D239)))</f>
        <v/>
      </c>
      <c r="G239" s="2">
        <f>Input_Data!J239</f>
        <v/>
      </c>
      <c r="H239" s="2">
        <f>IF(G239="","",IF(COUNTA($G$2:$G$300)&lt;=1,0,PERCENTRANK.INC($G$2:$G$300,G239)))</f>
        <v/>
      </c>
      <c r="I239" s="2">
        <f>IF(F239="","",1-F239)</f>
        <v/>
      </c>
      <c r="J239" s="2">
        <f>IF(A239="","",0.6*I239+0.4*H239)</f>
        <v/>
      </c>
      <c r="K239">
        <f>IF(F239="","",IF(F239&lt;=0.33,"Low Movement",IF(F239&lt;=0.66,"Medium Movement","High Movement")))</f>
        <v/>
      </c>
      <c r="L239">
        <f>IF(J239="","",IF(J239&gt;=0.67,"High Value Bundle",IF(J239&gt;=0.34,"Medium Value Bundle","Low Value Bundle")))</f>
        <v/>
      </c>
      <c r="M239">
        <f>IF(A239="","",IF(AND(F239&gt;=0.66,H239&gt;=0.66),"Yes","No"))</f>
        <v/>
      </c>
      <c r="N239">
        <f>IF(A239="","",IF(K239="Low Movement","Yes","No"))</f>
        <v/>
      </c>
      <c r="O239" s="2">
        <f>IF(L239="","",IF(L239="High Value Bundle",0.10,IF(L239="Medium Value Bundle",0.15,0.20)))</f>
        <v/>
      </c>
      <c r="P239">
        <f>IF(M239="Yes",C239&amp;"|anchor","")</f>
        <v/>
      </c>
      <c r="Q239">
        <f>IF(M239="Yes",B239,"")</f>
        <v/>
      </c>
    </row>
    <row r="240">
      <c r="A240">
        <f>Input_Data!A240</f>
        <v/>
      </c>
      <c r="B240">
        <f>Input_Data!B240</f>
        <v/>
      </c>
      <c r="C240">
        <f>Input_Data!C240</f>
        <v/>
      </c>
      <c r="D240">
        <f>IF(A240="","",SUM(Input_Data!D240:I240))</f>
        <v/>
      </c>
      <c r="E240">
        <f>IF(D240="","",D240/6)</f>
        <v/>
      </c>
      <c r="F240" s="2">
        <f>IF(D240="","",IF(COUNTA($D$2:$D$300)&lt;=1,0,PERCENTRANK.INC($D$2:$D$300,D240)))</f>
        <v/>
      </c>
      <c r="G240" s="2">
        <f>Input_Data!J240</f>
        <v/>
      </c>
      <c r="H240" s="2">
        <f>IF(G240="","",IF(COUNTA($G$2:$G$300)&lt;=1,0,PERCENTRANK.INC($G$2:$G$300,G240)))</f>
        <v/>
      </c>
      <c r="I240" s="2">
        <f>IF(F240="","",1-F240)</f>
        <v/>
      </c>
      <c r="J240" s="2">
        <f>IF(A240="","",0.6*I240+0.4*H240)</f>
        <v/>
      </c>
      <c r="K240">
        <f>IF(F240="","",IF(F240&lt;=0.33,"Low Movement",IF(F240&lt;=0.66,"Medium Movement","High Movement")))</f>
        <v/>
      </c>
      <c r="L240">
        <f>IF(J240="","",IF(J240&gt;=0.67,"High Value Bundle",IF(J240&gt;=0.34,"Medium Value Bundle","Low Value Bundle")))</f>
        <v/>
      </c>
      <c r="M240">
        <f>IF(A240="","",IF(AND(F240&gt;=0.66,H240&gt;=0.66),"Yes","No"))</f>
        <v/>
      </c>
      <c r="N240">
        <f>IF(A240="","",IF(K240="Low Movement","Yes","No"))</f>
        <v/>
      </c>
      <c r="O240" s="2">
        <f>IF(L240="","",IF(L240="High Value Bundle",0.10,IF(L240="Medium Value Bundle",0.15,0.20)))</f>
        <v/>
      </c>
      <c r="P240">
        <f>IF(M240="Yes",C240&amp;"|anchor","")</f>
        <v/>
      </c>
      <c r="Q240">
        <f>IF(M240="Yes",B240,"")</f>
        <v/>
      </c>
    </row>
    <row r="241">
      <c r="A241">
        <f>Input_Data!A241</f>
        <v/>
      </c>
      <c r="B241">
        <f>Input_Data!B241</f>
        <v/>
      </c>
      <c r="C241">
        <f>Input_Data!C241</f>
        <v/>
      </c>
      <c r="D241">
        <f>IF(A241="","",SUM(Input_Data!D241:I241))</f>
        <v/>
      </c>
      <c r="E241">
        <f>IF(D241="","",D241/6)</f>
        <v/>
      </c>
      <c r="F241" s="2">
        <f>IF(D241="","",IF(COUNTA($D$2:$D$300)&lt;=1,0,PERCENTRANK.INC($D$2:$D$300,D241)))</f>
        <v/>
      </c>
      <c r="G241" s="2">
        <f>Input_Data!J241</f>
        <v/>
      </c>
      <c r="H241" s="2">
        <f>IF(G241="","",IF(COUNTA($G$2:$G$300)&lt;=1,0,PERCENTRANK.INC($G$2:$G$300,G241)))</f>
        <v/>
      </c>
      <c r="I241" s="2">
        <f>IF(F241="","",1-F241)</f>
        <v/>
      </c>
      <c r="J241" s="2">
        <f>IF(A241="","",0.6*I241+0.4*H241)</f>
        <v/>
      </c>
      <c r="K241">
        <f>IF(F241="","",IF(F241&lt;=0.33,"Low Movement",IF(F241&lt;=0.66,"Medium Movement","High Movement")))</f>
        <v/>
      </c>
      <c r="L241">
        <f>IF(J241="","",IF(J241&gt;=0.67,"High Value Bundle",IF(J241&gt;=0.34,"Medium Value Bundle","Low Value Bundle")))</f>
        <v/>
      </c>
      <c r="M241">
        <f>IF(A241="","",IF(AND(F241&gt;=0.66,H241&gt;=0.66),"Yes","No"))</f>
        <v/>
      </c>
      <c r="N241">
        <f>IF(A241="","",IF(K241="Low Movement","Yes","No"))</f>
        <v/>
      </c>
      <c r="O241" s="2">
        <f>IF(L241="","",IF(L241="High Value Bundle",0.10,IF(L241="Medium Value Bundle",0.15,0.20)))</f>
        <v/>
      </c>
      <c r="P241">
        <f>IF(M241="Yes",C241&amp;"|anchor","")</f>
        <v/>
      </c>
      <c r="Q241">
        <f>IF(M241="Yes",B241,"")</f>
        <v/>
      </c>
    </row>
    <row r="242">
      <c r="A242">
        <f>Input_Data!A242</f>
        <v/>
      </c>
      <c r="B242">
        <f>Input_Data!B242</f>
        <v/>
      </c>
      <c r="C242">
        <f>Input_Data!C242</f>
        <v/>
      </c>
      <c r="D242">
        <f>IF(A242="","",SUM(Input_Data!D242:I242))</f>
        <v/>
      </c>
      <c r="E242">
        <f>IF(D242="","",D242/6)</f>
        <v/>
      </c>
      <c r="F242" s="2">
        <f>IF(D242="","",IF(COUNTA($D$2:$D$300)&lt;=1,0,PERCENTRANK.INC($D$2:$D$300,D242)))</f>
        <v/>
      </c>
      <c r="G242" s="2">
        <f>Input_Data!J242</f>
        <v/>
      </c>
      <c r="H242" s="2">
        <f>IF(G242="","",IF(COUNTA($G$2:$G$300)&lt;=1,0,PERCENTRANK.INC($G$2:$G$300,G242)))</f>
        <v/>
      </c>
      <c r="I242" s="2">
        <f>IF(F242="","",1-F242)</f>
        <v/>
      </c>
      <c r="J242" s="2">
        <f>IF(A242="","",0.6*I242+0.4*H242)</f>
        <v/>
      </c>
      <c r="K242">
        <f>IF(F242="","",IF(F242&lt;=0.33,"Low Movement",IF(F242&lt;=0.66,"Medium Movement","High Movement")))</f>
        <v/>
      </c>
      <c r="L242">
        <f>IF(J242="","",IF(J242&gt;=0.67,"High Value Bundle",IF(J242&gt;=0.34,"Medium Value Bundle","Low Value Bundle")))</f>
        <v/>
      </c>
      <c r="M242">
        <f>IF(A242="","",IF(AND(F242&gt;=0.66,H242&gt;=0.66),"Yes","No"))</f>
        <v/>
      </c>
      <c r="N242">
        <f>IF(A242="","",IF(K242="Low Movement","Yes","No"))</f>
        <v/>
      </c>
      <c r="O242" s="2">
        <f>IF(L242="","",IF(L242="High Value Bundle",0.10,IF(L242="Medium Value Bundle",0.15,0.20)))</f>
        <v/>
      </c>
      <c r="P242">
        <f>IF(M242="Yes",C242&amp;"|anchor","")</f>
        <v/>
      </c>
      <c r="Q242">
        <f>IF(M242="Yes",B242,"")</f>
        <v/>
      </c>
    </row>
    <row r="243">
      <c r="A243">
        <f>Input_Data!A243</f>
        <v/>
      </c>
      <c r="B243">
        <f>Input_Data!B243</f>
        <v/>
      </c>
      <c r="C243">
        <f>Input_Data!C243</f>
        <v/>
      </c>
      <c r="D243">
        <f>IF(A243="","",SUM(Input_Data!D243:I243))</f>
        <v/>
      </c>
      <c r="E243">
        <f>IF(D243="","",D243/6)</f>
        <v/>
      </c>
      <c r="F243" s="2">
        <f>IF(D243="","",IF(COUNTA($D$2:$D$300)&lt;=1,0,PERCENTRANK.INC($D$2:$D$300,D243)))</f>
        <v/>
      </c>
      <c r="G243" s="2">
        <f>Input_Data!J243</f>
        <v/>
      </c>
      <c r="H243" s="2">
        <f>IF(G243="","",IF(COUNTA($G$2:$G$300)&lt;=1,0,PERCENTRANK.INC($G$2:$G$300,G243)))</f>
        <v/>
      </c>
      <c r="I243" s="2">
        <f>IF(F243="","",1-F243)</f>
        <v/>
      </c>
      <c r="J243" s="2">
        <f>IF(A243="","",0.6*I243+0.4*H243)</f>
        <v/>
      </c>
      <c r="K243">
        <f>IF(F243="","",IF(F243&lt;=0.33,"Low Movement",IF(F243&lt;=0.66,"Medium Movement","High Movement")))</f>
        <v/>
      </c>
      <c r="L243">
        <f>IF(J243="","",IF(J243&gt;=0.67,"High Value Bundle",IF(J243&gt;=0.34,"Medium Value Bundle","Low Value Bundle")))</f>
        <v/>
      </c>
      <c r="M243">
        <f>IF(A243="","",IF(AND(F243&gt;=0.66,H243&gt;=0.66),"Yes","No"))</f>
        <v/>
      </c>
      <c r="N243">
        <f>IF(A243="","",IF(K243="Low Movement","Yes","No"))</f>
        <v/>
      </c>
      <c r="O243" s="2">
        <f>IF(L243="","",IF(L243="High Value Bundle",0.10,IF(L243="Medium Value Bundle",0.15,0.20)))</f>
        <v/>
      </c>
      <c r="P243">
        <f>IF(M243="Yes",C243&amp;"|anchor","")</f>
        <v/>
      </c>
      <c r="Q243">
        <f>IF(M243="Yes",B243,"")</f>
        <v/>
      </c>
    </row>
    <row r="244">
      <c r="A244">
        <f>Input_Data!A244</f>
        <v/>
      </c>
      <c r="B244">
        <f>Input_Data!B244</f>
        <v/>
      </c>
      <c r="C244">
        <f>Input_Data!C244</f>
        <v/>
      </c>
      <c r="D244">
        <f>IF(A244="","",SUM(Input_Data!D244:I244))</f>
        <v/>
      </c>
      <c r="E244">
        <f>IF(D244="","",D244/6)</f>
        <v/>
      </c>
      <c r="F244" s="2">
        <f>IF(D244="","",IF(COUNTA($D$2:$D$300)&lt;=1,0,PERCENTRANK.INC($D$2:$D$300,D244)))</f>
        <v/>
      </c>
      <c r="G244" s="2">
        <f>Input_Data!J244</f>
        <v/>
      </c>
      <c r="H244" s="2">
        <f>IF(G244="","",IF(COUNTA($G$2:$G$300)&lt;=1,0,PERCENTRANK.INC($G$2:$G$300,G244)))</f>
        <v/>
      </c>
      <c r="I244" s="2">
        <f>IF(F244="","",1-F244)</f>
        <v/>
      </c>
      <c r="J244" s="2">
        <f>IF(A244="","",0.6*I244+0.4*H244)</f>
        <v/>
      </c>
      <c r="K244">
        <f>IF(F244="","",IF(F244&lt;=0.33,"Low Movement",IF(F244&lt;=0.66,"Medium Movement","High Movement")))</f>
        <v/>
      </c>
      <c r="L244">
        <f>IF(J244="","",IF(J244&gt;=0.67,"High Value Bundle",IF(J244&gt;=0.34,"Medium Value Bundle","Low Value Bundle")))</f>
        <v/>
      </c>
      <c r="M244">
        <f>IF(A244="","",IF(AND(F244&gt;=0.66,H244&gt;=0.66),"Yes","No"))</f>
        <v/>
      </c>
      <c r="N244">
        <f>IF(A244="","",IF(K244="Low Movement","Yes","No"))</f>
        <v/>
      </c>
      <c r="O244" s="2">
        <f>IF(L244="","",IF(L244="High Value Bundle",0.10,IF(L244="Medium Value Bundle",0.15,0.20)))</f>
        <v/>
      </c>
      <c r="P244">
        <f>IF(M244="Yes",C244&amp;"|anchor","")</f>
        <v/>
      </c>
      <c r="Q244">
        <f>IF(M244="Yes",B244,"")</f>
        <v/>
      </c>
    </row>
    <row r="245">
      <c r="A245">
        <f>Input_Data!A245</f>
        <v/>
      </c>
      <c r="B245">
        <f>Input_Data!B245</f>
        <v/>
      </c>
      <c r="C245">
        <f>Input_Data!C245</f>
        <v/>
      </c>
      <c r="D245">
        <f>IF(A245="","",SUM(Input_Data!D245:I245))</f>
        <v/>
      </c>
      <c r="E245">
        <f>IF(D245="","",D245/6)</f>
        <v/>
      </c>
      <c r="F245" s="2">
        <f>IF(D245="","",IF(COUNTA($D$2:$D$300)&lt;=1,0,PERCENTRANK.INC($D$2:$D$300,D245)))</f>
        <v/>
      </c>
      <c r="G245" s="2">
        <f>Input_Data!J245</f>
        <v/>
      </c>
      <c r="H245" s="2">
        <f>IF(G245="","",IF(COUNTA($G$2:$G$300)&lt;=1,0,PERCENTRANK.INC($G$2:$G$300,G245)))</f>
        <v/>
      </c>
      <c r="I245" s="2">
        <f>IF(F245="","",1-F245)</f>
        <v/>
      </c>
      <c r="J245" s="2">
        <f>IF(A245="","",0.6*I245+0.4*H245)</f>
        <v/>
      </c>
      <c r="K245">
        <f>IF(F245="","",IF(F245&lt;=0.33,"Low Movement",IF(F245&lt;=0.66,"Medium Movement","High Movement")))</f>
        <v/>
      </c>
      <c r="L245">
        <f>IF(J245="","",IF(J245&gt;=0.67,"High Value Bundle",IF(J245&gt;=0.34,"Medium Value Bundle","Low Value Bundle")))</f>
        <v/>
      </c>
      <c r="M245">
        <f>IF(A245="","",IF(AND(F245&gt;=0.66,H245&gt;=0.66),"Yes","No"))</f>
        <v/>
      </c>
      <c r="N245">
        <f>IF(A245="","",IF(K245="Low Movement","Yes","No"))</f>
        <v/>
      </c>
      <c r="O245" s="2">
        <f>IF(L245="","",IF(L245="High Value Bundle",0.10,IF(L245="Medium Value Bundle",0.15,0.20)))</f>
        <v/>
      </c>
      <c r="P245">
        <f>IF(M245="Yes",C245&amp;"|anchor","")</f>
        <v/>
      </c>
      <c r="Q245">
        <f>IF(M245="Yes",B245,"")</f>
        <v/>
      </c>
    </row>
    <row r="246">
      <c r="A246">
        <f>Input_Data!A246</f>
        <v/>
      </c>
      <c r="B246">
        <f>Input_Data!B246</f>
        <v/>
      </c>
      <c r="C246">
        <f>Input_Data!C246</f>
        <v/>
      </c>
      <c r="D246">
        <f>IF(A246="","",SUM(Input_Data!D246:I246))</f>
        <v/>
      </c>
      <c r="E246">
        <f>IF(D246="","",D246/6)</f>
        <v/>
      </c>
      <c r="F246" s="2">
        <f>IF(D246="","",IF(COUNTA($D$2:$D$300)&lt;=1,0,PERCENTRANK.INC($D$2:$D$300,D246)))</f>
        <v/>
      </c>
      <c r="G246" s="2">
        <f>Input_Data!J246</f>
        <v/>
      </c>
      <c r="H246" s="2">
        <f>IF(G246="","",IF(COUNTA($G$2:$G$300)&lt;=1,0,PERCENTRANK.INC($G$2:$G$300,G246)))</f>
        <v/>
      </c>
      <c r="I246" s="2">
        <f>IF(F246="","",1-F246)</f>
        <v/>
      </c>
      <c r="J246" s="2">
        <f>IF(A246="","",0.6*I246+0.4*H246)</f>
        <v/>
      </c>
      <c r="K246">
        <f>IF(F246="","",IF(F246&lt;=0.33,"Low Movement",IF(F246&lt;=0.66,"Medium Movement","High Movement")))</f>
        <v/>
      </c>
      <c r="L246">
        <f>IF(J246="","",IF(J246&gt;=0.67,"High Value Bundle",IF(J246&gt;=0.34,"Medium Value Bundle","Low Value Bundle")))</f>
        <v/>
      </c>
      <c r="M246">
        <f>IF(A246="","",IF(AND(F246&gt;=0.66,H246&gt;=0.66),"Yes","No"))</f>
        <v/>
      </c>
      <c r="N246">
        <f>IF(A246="","",IF(K246="Low Movement","Yes","No"))</f>
        <v/>
      </c>
      <c r="O246" s="2">
        <f>IF(L246="","",IF(L246="High Value Bundle",0.10,IF(L246="Medium Value Bundle",0.15,0.20)))</f>
        <v/>
      </c>
      <c r="P246">
        <f>IF(M246="Yes",C246&amp;"|anchor","")</f>
        <v/>
      </c>
      <c r="Q246">
        <f>IF(M246="Yes",B246,"")</f>
        <v/>
      </c>
    </row>
    <row r="247">
      <c r="A247">
        <f>Input_Data!A247</f>
        <v/>
      </c>
      <c r="B247">
        <f>Input_Data!B247</f>
        <v/>
      </c>
      <c r="C247">
        <f>Input_Data!C247</f>
        <v/>
      </c>
      <c r="D247">
        <f>IF(A247="","",SUM(Input_Data!D247:I247))</f>
        <v/>
      </c>
      <c r="E247">
        <f>IF(D247="","",D247/6)</f>
        <v/>
      </c>
      <c r="F247" s="2">
        <f>IF(D247="","",IF(COUNTA($D$2:$D$300)&lt;=1,0,PERCENTRANK.INC($D$2:$D$300,D247)))</f>
        <v/>
      </c>
      <c r="G247" s="2">
        <f>Input_Data!J247</f>
        <v/>
      </c>
      <c r="H247" s="2">
        <f>IF(G247="","",IF(COUNTA($G$2:$G$300)&lt;=1,0,PERCENTRANK.INC($G$2:$G$300,G247)))</f>
        <v/>
      </c>
      <c r="I247" s="2">
        <f>IF(F247="","",1-F247)</f>
        <v/>
      </c>
      <c r="J247" s="2">
        <f>IF(A247="","",0.6*I247+0.4*H247)</f>
        <v/>
      </c>
      <c r="K247">
        <f>IF(F247="","",IF(F247&lt;=0.33,"Low Movement",IF(F247&lt;=0.66,"Medium Movement","High Movement")))</f>
        <v/>
      </c>
      <c r="L247">
        <f>IF(J247="","",IF(J247&gt;=0.67,"High Value Bundle",IF(J247&gt;=0.34,"Medium Value Bundle","Low Value Bundle")))</f>
        <v/>
      </c>
      <c r="M247">
        <f>IF(A247="","",IF(AND(F247&gt;=0.66,H247&gt;=0.66),"Yes","No"))</f>
        <v/>
      </c>
      <c r="N247">
        <f>IF(A247="","",IF(K247="Low Movement","Yes","No"))</f>
        <v/>
      </c>
      <c r="O247" s="2">
        <f>IF(L247="","",IF(L247="High Value Bundle",0.10,IF(L247="Medium Value Bundle",0.15,0.20)))</f>
        <v/>
      </c>
      <c r="P247">
        <f>IF(M247="Yes",C247&amp;"|anchor","")</f>
        <v/>
      </c>
      <c r="Q247">
        <f>IF(M247="Yes",B247,"")</f>
        <v/>
      </c>
    </row>
    <row r="248">
      <c r="A248">
        <f>Input_Data!A248</f>
        <v/>
      </c>
      <c r="B248">
        <f>Input_Data!B248</f>
        <v/>
      </c>
      <c r="C248">
        <f>Input_Data!C248</f>
        <v/>
      </c>
      <c r="D248">
        <f>IF(A248="","",SUM(Input_Data!D248:I248))</f>
        <v/>
      </c>
      <c r="E248">
        <f>IF(D248="","",D248/6)</f>
        <v/>
      </c>
      <c r="F248" s="2">
        <f>IF(D248="","",IF(COUNTA($D$2:$D$300)&lt;=1,0,PERCENTRANK.INC($D$2:$D$300,D248)))</f>
        <v/>
      </c>
      <c r="G248" s="2">
        <f>Input_Data!J248</f>
        <v/>
      </c>
      <c r="H248" s="2">
        <f>IF(G248="","",IF(COUNTA($G$2:$G$300)&lt;=1,0,PERCENTRANK.INC($G$2:$G$300,G248)))</f>
        <v/>
      </c>
      <c r="I248" s="2">
        <f>IF(F248="","",1-F248)</f>
        <v/>
      </c>
      <c r="J248" s="2">
        <f>IF(A248="","",0.6*I248+0.4*H248)</f>
        <v/>
      </c>
      <c r="K248">
        <f>IF(F248="","",IF(F248&lt;=0.33,"Low Movement",IF(F248&lt;=0.66,"Medium Movement","High Movement")))</f>
        <v/>
      </c>
      <c r="L248">
        <f>IF(J248="","",IF(J248&gt;=0.67,"High Value Bundle",IF(J248&gt;=0.34,"Medium Value Bundle","Low Value Bundle")))</f>
        <v/>
      </c>
      <c r="M248">
        <f>IF(A248="","",IF(AND(F248&gt;=0.66,H248&gt;=0.66),"Yes","No"))</f>
        <v/>
      </c>
      <c r="N248">
        <f>IF(A248="","",IF(K248="Low Movement","Yes","No"))</f>
        <v/>
      </c>
      <c r="O248" s="2">
        <f>IF(L248="","",IF(L248="High Value Bundle",0.10,IF(L248="Medium Value Bundle",0.15,0.20)))</f>
        <v/>
      </c>
      <c r="P248">
        <f>IF(M248="Yes",C248&amp;"|anchor","")</f>
        <v/>
      </c>
      <c r="Q248">
        <f>IF(M248="Yes",B248,"")</f>
        <v/>
      </c>
    </row>
    <row r="249">
      <c r="A249">
        <f>Input_Data!A249</f>
        <v/>
      </c>
      <c r="B249">
        <f>Input_Data!B249</f>
        <v/>
      </c>
      <c r="C249">
        <f>Input_Data!C249</f>
        <v/>
      </c>
      <c r="D249">
        <f>IF(A249="","",SUM(Input_Data!D249:I249))</f>
        <v/>
      </c>
      <c r="E249">
        <f>IF(D249="","",D249/6)</f>
        <v/>
      </c>
      <c r="F249" s="2">
        <f>IF(D249="","",IF(COUNTA($D$2:$D$300)&lt;=1,0,PERCENTRANK.INC($D$2:$D$300,D249)))</f>
        <v/>
      </c>
      <c r="G249" s="2">
        <f>Input_Data!J249</f>
        <v/>
      </c>
      <c r="H249" s="2">
        <f>IF(G249="","",IF(COUNTA($G$2:$G$300)&lt;=1,0,PERCENTRANK.INC($G$2:$G$300,G249)))</f>
        <v/>
      </c>
      <c r="I249" s="2">
        <f>IF(F249="","",1-F249)</f>
        <v/>
      </c>
      <c r="J249" s="2">
        <f>IF(A249="","",0.6*I249+0.4*H249)</f>
        <v/>
      </c>
      <c r="K249">
        <f>IF(F249="","",IF(F249&lt;=0.33,"Low Movement",IF(F249&lt;=0.66,"Medium Movement","High Movement")))</f>
        <v/>
      </c>
      <c r="L249">
        <f>IF(J249="","",IF(J249&gt;=0.67,"High Value Bundle",IF(J249&gt;=0.34,"Medium Value Bundle","Low Value Bundle")))</f>
        <v/>
      </c>
      <c r="M249">
        <f>IF(A249="","",IF(AND(F249&gt;=0.66,H249&gt;=0.66),"Yes","No"))</f>
        <v/>
      </c>
      <c r="N249">
        <f>IF(A249="","",IF(K249="Low Movement","Yes","No"))</f>
        <v/>
      </c>
      <c r="O249" s="2">
        <f>IF(L249="","",IF(L249="High Value Bundle",0.10,IF(L249="Medium Value Bundle",0.15,0.20)))</f>
        <v/>
      </c>
      <c r="P249">
        <f>IF(M249="Yes",C249&amp;"|anchor","")</f>
        <v/>
      </c>
      <c r="Q249">
        <f>IF(M249="Yes",B249,"")</f>
        <v/>
      </c>
    </row>
    <row r="250">
      <c r="A250">
        <f>Input_Data!A250</f>
        <v/>
      </c>
      <c r="B250">
        <f>Input_Data!B250</f>
        <v/>
      </c>
      <c r="C250">
        <f>Input_Data!C250</f>
        <v/>
      </c>
      <c r="D250">
        <f>IF(A250="","",SUM(Input_Data!D250:I250))</f>
        <v/>
      </c>
      <c r="E250">
        <f>IF(D250="","",D250/6)</f>
        <v/>
      </c>
      <c r="F250" s="2">
        <f>IF(D250="","",IF(COUNTA($D$2:$D$300)&lt;=1,0,PERCENTRANK.INC($D$2:$D$300,D250)))</f>
        <v/>
      </c>
      <c r="G250" s="2">
        <f>Input_Data!J250</f>
        <v/>
      </c>
      <c r="H250" s="2">
        <f>IF(G250="","",IF(COUNTA($G$2:$G$300)&lt;=1,0,PERCENTRANK.INC($G$2:$G$300,G250)))</f>
        <v/>
      </c>
      <c r="I250" s="2">
        <f>IF(F250="","",1-F250)</f>
        <v/>
      </c>
      <c r="J250" s="2">
        <f>IF(A250="","",0.6*I250+0.4*H250)</f>
        <v/>
      </c>
      <c r="K250">
        <f>IF(F250="","",IF(F250&lt;=0.33,"Low Movement",IF(F250&lt;=0.66,"Medium Movement","High Movement")))</f>
        <v/>
      </c>
      <c r="L250">
        <f>IF(J250="","",IF(J250&gt;=0.67,"High Value Bundle",IF(J250&gt;=0.34,"Medium Value Bundle","Low Value Bundle")))</f>
        <v/>
      </c>
      <c r="M250">
        <f>IF(A250="","",IF(AND(F250&gt;=0.66,H250&gt;=0.66),"Yes","No"))</f>
        <v/>
      </c>
      <c r="N250">
        <f>IF(A250="","",IF(K250="Low Movement","Yes","No"))</f>
        <v/>
      </c>
      <c r="O250" s="2">
        <f>IF(L250="","",IF(L250="High Value Bundle",0.10,IF(L250="Medium Value Bundle",0.15,0.20)))</f>
        <v/>
      </c>
      <c r="P250">
        <f>IF(M250="Yes",C250&amp;"|anchor","")</f>
        <v/>
      </c>
      <c r="Q250">
        <f>IF(M250="Yes",B250,"")</f>
        <v/>
      </c>
    </row>
    <row r="251">
      <c r="A251">
        <f>Input_Data!A251</f>
        <v/>
      </c>
      <c r="B251">
        <f>Input_Data!B251</f>
        <v/>
      </c>
      <c r="C251">
        <f>Input_Data!C251</f>
        <v/>
      </c>
      <c r="D251">
        <f>IF(A251="","",SUM(Input_Data!D251:I251))</f>
        <v/>
      </c>
      <c r="E251">
        <f>IF(D251="","",D251/6)</f>
        <v/>
      </c>
      <c r="F251" s="2">
        <f>IF(D251="","",IF(COUNTA($D$2:$D$300)&lt;=1,0,PERCENTRANK.INC($D$2:$D$300,D251)))</f>
        <v/>
      </c>
      <c r="G251" s="2">
        <f>Input_Data!J251</f>
        <v/>
      </c>
      <c r="H251" s="2">
        <f>IF(G251="","",IF(COUNTA($G$2:$G$300)&lt;=1,0,PERCENTRANK.INC($G$2:$G$300,G251)))</f>
        <v/>
      </c>
      <c r="I251" s="2">
        <f>IF(F251="","",1-F251)</f>
        <v/>
      </c>
      <c r="J251" s="2">
        <f>IF(A251="","",0.6*I251+0.4*H251)</f>
        <v/>
      </c>
      <c r="K251">
        <f>IF(F251="","",IF(F251&lt;=0.33,"Low Movement",IF(F251&lt;=0.66,"Medium Movement","High Movement")))</f>
        <v/>
      </c>
      <c r="L251">
        <f>IF(J251="","",IF(J251&gt;=0.67,"High Value Bundle",IF(J251&gt;=0.34,"Medium Value Bundle","Low Value Bundle")))</f>
        <v/>
      </c>
      <c r="M251">
        <f>IF(A251="","",IF(AND(F251&gt;=0.66,H251&gt;=0.66),"Yes","No"))</f>
        <v/>
      </c>
      <c r="N251">
        <f>IF(A251="","",IF(K251="Low Movement","Yes","No"))</f>
        <v/>
      </c>
      <c r="O251" s="2">
        <f>IF(L251="","",IF(L251="High Value Bundle",0.10,IF(L251="Medium Value Bundle",0.15,0.20)))</f>
        <v/>
      </c>
      <c r="P251">
        <f>IF(M251="Yes",C251&amp;"|anchor","")</f>
        <v/>
      </c>
      <c r="Q251">
        <f>IF(M251="Yes",B251,"")</f>
        <v/>
      </c>
    </row>
    <row r="252">
      <c r="A252">
        <f>Input_Data!A252</f>
        <v/>
      </c>
      <c r="B252">
        <f>Input_Data!B252</f>
        <v/>
      </c>
      <c r="C252">
        <f>Input_Data!C252</f>
        <v/>
      </c>
      <c r="D252">
        <f>IF(A252="","",SUM(Input_Data!D252:I252))</f>
        <v/>
      </c>
      <c r="E252">
        <f>IF(D252="","",D252/6)</f>
        <v/>
      </c>
      <c r="F252" s="2">
        <f>IF(D252="","",IF(COUNTA($D$2:$D$300)&lt;=1,0,PERCENTRANK.INC($D$2:$D$300,D252)))</f>
        <v/>
      </c>
      <c r="G252" s="2">
        <f>Input_Data!J252</f>
        <v/>
      </c>
      <c r="H252" s="2">
        <f>IF(G252="","",IF(COUNTA($G$2:$G$300)&lt;=1,0,PERCENTRANK.INC($G$2:$G$300,G252)))</f>
        <v/>
      </c>
      <c r="I252" s="2">
        <f>IF(F252="","",1-F252)</f>
        <v/>
      </c>
      <c r="J252" s="2">
        <f>IF(A252="","",0.6*I252+0.4*H252)</f>
        <v/>
      </c>
      <c r="K252">
        <f>IF(F252="","",IF(F252&lt;=0.33,"Low Movement",IF(F252&lt;=0.66,"Medium Movement","High Movement")))</f>
        <v/>
      </c>
      <c r="L252">
        <f>IF(J252="","",IF(J252&gt;=0.67,"High Value Bundle",IF(J252&gt;=0.34,"Medium Value Bundle","Low Value Bundle")))</f>
        <v/>
      </c>
      <c r="M252">
        <f>IF(A252="","",IF(AND(F252&gt;=0.66,H252&gt;=0.66),"Yes","No"))</f>
        <v/>
      </c>
      <c r="N252">
        <f>IF(A252="","",IF(K252="Low Movement","Yes","No"))</f>
        <v/>
      </c>
      <c r="O252" s="2">
        <f>IF(L252="","",IF(L252="High Value Bundle",0.10,IF(L252="Medium Value Bundle",0.15,0.20)))</f>
        <v/>
      </c>
      <c r="P252">
        <f>IF(M252="Yes",C252&amp;"|anchor","")</f>
        <v/>
      </c>
      <c r="Q252">
        <f>IF(M252="Yes",B252,"")</f>
        <v/>
      </c>
    </row>
    <row r="253">
      <c r="A253">
        <f>Input_Data!A253</f>
        <v/>
      </c>
      <c r="B253">
        <f>Input_Data!B253</f>
        <v/>
      </c>
      <c r="C253">
        <f>Input_Data!C253</f>
        <v/>
      </c>
      <c r="D253">
        <f>IF(A253="","",SUM(Input_Data!D253:I253))</f>
        <v/>
      </c>
      <c r="E253">
        <f>IF(D253="","",D253/6)</f>
        <v/>
      </c>
      <c r="F253" s="2">
        <f>IF(D253="","",IF(COUNTA($D$2:$D$300)&lt;=1,0,PERCENTRANK.INC($D$2:$D$300,D253)))</f>
        <v/>
      </c>
      <c r="G253" s="2">
        <f>Input_Data!J253</f>
        <v/>
      </c>
      <c r="H253" s="2">
        <f>IF(G253="","",IF(COUNTA($G$2:$G$300)&lt;=1,0,PERCENTRANK.INC($G$2:$G$300,G253)))</f>
        <v/>
      </c>
      <c r="I253" s="2">
        <f>IF(F253="","",1-F253)</f>
        <v/>
      </c>
      <c r="J253" s="2">
        <f>IF(A253="","",0.6*I253+0.4*H253)</f>
        <v/>
      </c>
      <c r="K253">
        <f>IF(F253="","",IF(F253&lt;=0.33,"Low Movement",IF(F253&lt;=0.66,"Medium Movement","High Movement")))</f>
        <v/>
      </c>
      <c r="L253">
        <f>IF(J253="","",IF(J253&gt;=0.67,"High Value Bundle",IF(J253&gt;=0.34,"Medium Value Bundle","Low Value Bundle")))</f>
        <v/>
      </c>
      <c r="M253">
        <f>IF(A253="","",IF(AND(F253&gt;=0.66,H253&gt;=0.66),"Yes","No"))</f>
        <v/>
      </c>
      <c r="N253">
        <f>IF(A253="","",IF(K253="Low Movement","Yes","No"))</f>
        <v/>
      </c>
      <c r="O253" s="2">
        <f>IF(L253="","",IF(L253="High Value Bundle",0.10,IF(L253="Medium Value Bundle",0.15,0.20)))</f>
        <v/>
      </c>
      <c r="P253">
        <f>IF(M253="Yes",C253&amp;"|anchor","")</f>
        <v/>
      </c>
      <c r="Q253">
        <f>IF(M253="Yes",B253,"")</f>
        <v/>
      </c>
    </row>
    <row r="254">
      <c r="A254">
        <f>Input_Data!A254</f>
        <v/>
      </c>
      <c r="B254">
        <f>Input_Data!B254</f>
        <v/>
      </c>
      <c r="C254">
        <f>Input_Data!C254</f>
        <v/>
      </c>
      <c r="D254">
        <f>IF(A254="","",SUM(Input_Data!D254:I254))</f>
        <v/>
      </c>
      <c r="E254">
        <f>IF(D254="","",D254/6)</f>
        <v/>
      </c>
      <c r="F254" s="2">
        <f>IF(D254="","",IF(COUNTA($D$2:$D$300)&lt;=1,0,PERCENTRANK.INC($D$2:$D$300,D254)))</f>
        <v/>
      </c>
      <c r="G254" s="2">
        <f>Input_Data!J254</f>
        <v/>
      </c>
      <c r="H254" s="2">
        <f>IF(G254="","",IF(COUNTA($G$2:$G$300)&lt;=1,0,PERCENTRANK.INC($G$2:$G$300,G254)))</f>
        <v/>
      </c>
      <c r="I254" s="2">
        <f>IF(F254="","",1-F254)</f>
        <v/>
      </c>
      <c r="J254" s="2">
        <f>IF(A254="","",0.6*I254+0.4*H254)</f>
        <v/>
      </c>
      <c r="K254">
        <f>IF(F254="","",IF(F254&lt;=0.33,"Low Movement",IF(F254&lt;=0.66,"Medium Movement","High Movement")))</f>
        <v/>
      </c>
      <c r="L254">
        <f>IF(J254="","",IF(J254&gt;=0.67,"High Value Bundle",IF(J254&gt;=0.34,"Medium Value Bundle","Low Value Bundle")))</f>
        <v/>
      </c>
      <c r="M254">
        <f>IF(A254="","",IF(AND(F254&gt;=0.66,H254&gt;=0.66),"Yes","No"))</f>
        <v/>
      </c>
      <c r="N254">
        <f>IF(A254="","",IF(K254="Low Movement","Yes","No"))</f>
        <v/>
      </c>
      <c r="O254" s="2">
        <f>IF(L254="","",IF(L254="High Value Bundle",0.10,IF(L254="Medium Value Bundle",0.15,0.20)))</f>
        <v/>
      </c>
      <c r="P254">
        <f>IF(M254="Yes",C254&amp;"|anchor","")</f>
        <v/>
      </c>
      <c r="Q254">
        <f>IF(M254="Yes",B254,"")</f>
        <v/>
      </c>
    </row>
    <row r="255">
      <c r="A255">
        <f>Input_Data!A255</f>
        <v/>
      </c>
      <c r="B255">
        <f>Input_Data!B255</f>
        <v/>
      </c>
      <c r="C255">
        <f>Input_Data!C255</f>
        <v/>
      </c>
      <c r="D255">
        <f>IF(A255="","",SUM(Input_Data!D255:I255))</f>
        <v/>
      </c>
      <c r="E255">
        <f>IF(D255="","",D255/6)</f>
        <v/>
      </c>
      <c r="F255" s="2">
        <f>IF(D255="","",IF(COUNTA($D$2:$D$300)&lt;=1,0,PERCENTRANK.INC($D$2:$D$300,D255)))</f>
        <v/>
      </c>
      <c r="G255" s="2">
        <f>Input_Data!J255</f>
        <v/>
      </c>
      <c r="H255" s="2">
        <f>IF(G255="","",IF(COUNTA($G$2:$G$300)&lt;=1,0,PERCENTRANK.INC($G$2:$G$300,G255)))</f>
        <v/>
      </c>
      <c r="I255" s="2">
        <f>IF(F255="","",1-F255)</f>
        <v/>
      </c>
      <c r="J255" s="2">
        <f>IF(A255="","",0.6*I255+0.4*H255)</f>
        <v/>
      </c>
      <c r="K255">
        <f>IF(F255="","",IF(F255&lt;=0.33,"Low Movement",IF(F255&lt;=0.66,"Medium Movement","High Movement")))</f>
        <v/>
      </c>
      <c r="L255">
        <f>IF(J255="","",IF(J255&gt;=0.67,"High Value Bundle",IF(J255&gt;=0.34,"Medium Value Bundle","Low Value Bundle")))</f>
        <v/>
      </c>
      <c r="M255">
        <f>IF(A255="","",IF(AND(F255&gt;=0.66,H255&gt;=0.66),"Yes","No"))</f>
        <v/>
      </c>
      <c r="N255">
        <f>IF(A255="","",IF(K255="Low Movement","Yes","No"))</f>
        <v/>
      </c>
      <c r="O255" s="2">
        <f>IF(L255="","",IF(L255="High Value Bundle",0.10,IF(L255="Medium Value Bundle",0.15,0.20)))</f>
        <v/>
      </c>
      <c r="P255">
        <f>IF(M255="Yes",C255&amp;"|anchor","")</f>
        <v/>
      </c>
      <c r="Q255">
        <f>IF(M255="Yes",B255,"")</f>
        <v/>
      </c>
    </row>
    <row r="256">
      <c r="A256">
        <f>Input_Data!A256</f>
        <v/>
      </c>
      <c r="B256">
        <f>Input_Data!B256</f>
        <v/>
      </c>
      <c r="C256">
        <f>Input_Data!C256</f>
        <v/>
      </c>
      <c r="D256">
        <f>IF(A256="","",SUM(Input_Data!D256:I256))</f>
        <v/>
      </c>
      <c r="E256">
        <f>IF(D256="","",D256/6)</f>
        <v/>
      </c>
      <c r="F256" s="2">
        <f>IF(D256="","",IF(COUNTA($D$2:$D$300)&lt;=1,0,PERCENTRANK.INC($D$2:$D$300,D256)))</f>
        <v/>
      </c>
      <c r="G256" s="2">
        <f>Input_Data!J256</f>
        <v/>
      </c>
      <c r="H256" s="2">
        <f>IF(G256="","",IF(COUNTA($G$2:$G$300)&lt;=1,0,PERCENTRANK.INC($G$2:$G$300,G256)))</f>
        <v/>
      </c>
      <c r="I256" s="2">
        <f>IF(F256="","",1-F256)</f>
        <v/>
      </c>
      <c r="J256" s="2">
        <f>IF(A256="","",0.6*I256+0.4*H256)</f>
        <v/>
      </c>
      <c r="K256">
        <f>IF(F256="","",IF(F256&lt;=0.33,"Low Movement",IF(F256&lt;=0.66,"Medium Movement","High Movement")))</f>
        <v/>
      </c>
      <c r="L256">
        <f>IF(J256="","",IF(J256&gt;=0.67,"High Value Bundle",IF(J256&gt;=0.34,"Medium Value Bundle","Low Value Bundle")))</f>
        <v/>
      </c>
      <c r="M256">
        <f>IF(A256="","",IF(AND(F256&gt;=0.66,H256&gt;=0.66),"Yes","No"))</f>
        <v/>
      </c>
      <c r="N256">
        <f>IF(A256="","",IF(K256="Low Movement","Yes","No"))</f>
        <v/>
      </c>
      <c r="O256" s="2">
        <f>IF(L256="","",IF(L256="High Value Bundle",0.10,IF(L256="Medium Value Bundle",0.15,0.20)))</f>
        <v/>
      </c>
      <c r="P256">
        <f>IF(M256="Yes",C256&amp;"|anchor","")</f>
        <v/>
      </c>
      <c r="Q256">
        <f>IF(M256="Yes",B256,"")</f>
        <v/>
      </c>
    </row>
    <row r="257">
      <c r="A257">
        <f>Input_Data!A257</f>
        <v/>
      </c>
      <c r="B257">
        <f>Input_Data!B257</f>
        <v/>
      </c>
      <c r="C257">
        <f>Input_Data!C257</f>
        <v/>
      </c>
      <c r="D257">
        <f>IF(A257="","",SUM(Input_Data!D257:I257))</f>
        <v/>
      </c>
      <c r="E257">
        <f>IF(D257="","",D257/6)</f>
        <v/>
      </c>
      <c r="F257" s="2">
        <f>IF(D257="","",IF(COUNTA($D$2:$D$300)&lt;=1,0,PERCENTRANK.INC($D$2:$D$300,D257)))</f>
        <v/>
      </c>
      <c r="G257" s="2">
        <f>Input_Data!J257</f>
        <v/>
      </c>
      <c r="H257" s="2">
        <f>IF(G257="","",IF(COUNTA($G$2:$G$300)&lt;=1,0,PERCENTRANK.INC($G$2:$G$300,G257)))</f>
        <v/>
      </c>
      <c r="I257" s="2">
        <f>IF(F257="","",1-F257)</f>
        <v/>
      </c>
      <c r="J257" s="2">
        <f>IF(A257="","",0.6*I257+0.4*H257)</f>
        <v/>
      </c>
      <c r="K257">
        <f>IF(F257="","",IF(F257&lt;=0.33,"Low Movement",IF(F257&lt;=0.66,"Medium Movement","High Movement")))</f>
        <v/>
      </c>
      <c r="L257">
        <f>IF(J257="","",IF(J257&gt;=0.67,"High Value Bundle",IF(J257&gt;=0.34,"Medium Value Bundle","Low Value Bundle")))</f>
        <v/>
      </c>
      <c r="M257">
        <f>IF(A257="","",IF(AND(F257&gt;=0.66,H257&gt;=0.66),"Yes","No"))</f>
        <v/>
      </c>
      <c r="N257">
        <f>IF(A257="","",IF(K257="Low Movement","Yes","No"))</f>
        <v/>
      </c>
      <c r="O257" s="2">
        <f>IF(L257="","",IF(L257="High Value Bundle",0.10,IF(L257="Medium Value Bundle",0.15,0.20)))</f>
        <v/>
      </c>
      <c r="P257">
        <f>IF(M257="Yes",C257&amp;"|anchor","")</f>
        <v/>
      </c>
      <c r="Q257">
        <f>IF(M257="Yes",B257,"")</f>
        <v/>
      </c>
    </row>
    <row r="258">
      <c r="A258">
        <f>Input_Data!A258</f>
        <v/>
      </c>
      <c r="B258">
        <f>Input_Data!B258</f>
        <v/>
      </c>
      <c r="C258">
        <f>Input_Data!C258</f>
        <v/>
      </c>
      <c r="D258">
        <f>IF(A258="","",SUM(Input_Data!D258:I258))</f>
        <v/>
      </c>
      <c r="E258">
        <f>IF(D258="","",D258/6)</f>
        <v/>
      </c>
      <c r="F258" s="2">
        <f>IF(D258="","",IF(COUNTA($D$2:$D$300)&lt;=1,0,PERCENTRANK.INC($D$2:$D$300,D258)))</f>
        <v/>
      </c>
      <c r="G258" s="2">
        <f>Input_Data!J258</f>
        <v/>
      </c>
      <c r="H258" s="2">
        <f>IF(G258="","",IF(COUNTA($G$2:$G$300)&lt;=1,0,PERCENTRANK.INC($G$2:$G$300,G258)))</f>
        <v/>
      </c>
      <c r="I258" s="2">
        <f>IF(F258="","",1-F258)</f>
        <v/>
      </c>
      <c r="J258" s="2">
        <f>IF(A258="","",0.6*I258+0.4*H258)</f>
        <v/>
      </c>
      <c r="K258">
        <f>IF(F258="","",IF(F258&lt;=0.33,"Low Movement",IF(F258&lt;=0.66,"Medium Movement","High Movement")))</f>
        <v/>
      </c>
      <c r="L258">
        <f>IF(J258="","",IF(J258&gt;=0.67,"High Value Bundle",IF(J258&gt;=0.34,"Medium Value Bundle","Low Value Bundle")))</f>
        <v/>
      </c>
      <c r="M258">
        <f>IF(A258="","",IF(AND(F258&gt;=0.66,H258&gt;=0.66),"Yes","No"))</f>
        <v/>
      </c>
      <c r="N258">
        <f>IF(A258="","",IF(K258="Low Movement","Yes","No"))</f>
        <v/>
      </c>
      <c r="O258" s="2">
        <f>IF(L258="","",IF(L258="High Value Bundle",0.10,IF(L258="Medium Value Bundle",0.15,0.20)))</f>
        <v/>
      </c>
      <c r="P258">
        <f>IF(M258="Yes",C258&amp;"|anchor","")</f>
        <v/>
      </c>
      <c r="Q258">
        <f>IF(M258="Yes",B258,"")</f>
        <v/>
      </c>
    </row>
    <row r="259">
      <c r="A259">
        <f>Input_Data!A259</f>
        <v/>
      </c>
      <c r="B259">
        <f>Input_Data!B259</f>
        <v/>
      </c>
      <c r="C259">
        <f>Input_Data!C259</f>
        <v/>
      </c>
      <c r="D259">
        <f>IF(A259="","",SUM(Input_Data!D259:I259))</f>
        <v/>
      </c>
      <c r="E259">
        <f>IF(D259="","",D259/6)</f>
        <v/>
      </c>
      <c r="F259" s="2">
        <f>IF(D259="","",IF(COUNTA($D$2:$D$300)&lt;=1,0,PERCENTRANK.INC($D$2:$D$300,D259)))</f>
        <v/>
      </c>
      <c r="G259" s="2">
        <f>Input_Data!J259</f>
        <v/>
      </c>
      <c r="H259" s="2">
        <f>IF(G259="","",IF(COUNTA($G$2:$G$300)&lt;=1,0,PERCENTRANK.INC($G$2:$G$300,G259)))</f>
        <v/>
      </c>
      <c r="I259" s="2">
        <f>IF(F259="","",1-F259)</f>
        <v/>
      </c>
      <c r="J259" s="2">
        <f>IF(A259="","",0.6*I259+0.4*H259)</f>
        <v/>
      </c>
      <c r="K259">
        <f>IF(F259="","",IF(F259&lt;=0.33,"Low Movement",IF(F259&lt;=0.66,"Medium Movement","High Movement")))</f>
        <v/>
      </c>
      <c r="L259">
        <f>IF(J259="","",IF(J259&gt;=0.67,"High Value Bundle",IF(J259&gt;=0.34,"Medium Value Bundle","Low Value Bundle")))</f>
        <v/>
      </c>
      <c r="M259">
        <f>IF(A259="","",IF(AND(F259&gt;=0.66,H259&gt;=0.66),"Yes","No"))</f>
        <v/>
      </c>
      <c r="N259">
        <f>IF(A259="","",IF(K259="Low Movement","Yes","No"))</f>
        <v/>
      </c>
      <c r="O259" s="2">
        <f>IF(L259="","",IF(L259="High Value Bundle",0.10,IF(L259="Medium Value Bundle",0.15,0.20)))</f>
        <v/>
      </c>
      <c r="P259">
        <f>IF(M259="Yes",C259&amp;"|anchor","")</f>
        <v/>
      </c>
      <c r="Q259">
        <f>IF(M259="Yes",B259,"")</f>
        <v/>
      </c>
    </row>
    <row r="260">
      <c r="A260">
        <f>Input_Data!A260</f>
        <v/>
      </c>
      <c r="B260">
        <f>Input_Data!B260</f>
        <v/>
      </c>
      <c r="C260">
        <f>Input_Data!C260</f>
        <v/>
      </c>
      <c r="D260">
        <f>IF(A260="","",SUM(Input_Data!D260:I260))</f>
        <v/>
      </c>
      <c r="E260">
        <f>IF(D260="","",D260/6)</f>
        <v/>
      </c>
      <c r="F260" s="2">
        <f>IF(D260="","",IF(COUNTA($D$2:$D$300)&lt;=1,0,PERCENTRANK.INC($D$2:$D$300,D260)))</f>
        <v/>
      </c>
      <c r="G260" s="2">
        <f>Input_Data!J260</f>
        <v/>
      </c>
      <c r="H260" s="2">
        <f>IF(G260="","",IF(COUNTA($G$2:$G$300)&lt;=1,0,PERCENTRANK.INC($G$2:$G$300,G260)))</f>
        <v/>
      </c>
      <c r="I260" s="2">
        <f>IF(F260="","",1-F260)</f>
        <v/>
      </c>
      <c r="J260" s="2">
        <f>IF(A260="","",0.6*I260+0.4*H260)</f>
        <v/>
      </c>
      <c r="K260">
        <f>IF(F260="","",IF(F260&lt;=0.33,"Low Movement",IF(F260&lt;=0.66,"Medium Movement","High Movement")))</f>
        <v/>
      </c>
      <c r="L260">
        <f>IF(J260="","",IF(J260&gt;=0.67,"High Value Bundle",IF(J260&gt;=0.34,"Medium Value Bundle","Low Value Bundle")))</f>
        <v/>
      </c>
      <c r="M260">
        <f>IF(A260="","",IF(AND(F260&gt;=0.66,H260&gt;=0.66),"Yes","No"))</f>
        <v/>
      </c>
      <c r="N260">
        <f>IF(A260="","",IF(K260="Low Movement","Yes","No"))</f>
        <v/>
      </c>
      <c r="O260" s="2">
        <f>IF(L260="","",IF(L260="High Value Bundle",0.10,IF(L260="Medium Value Bundle",0.15,0.20)))</f>
        <v/>
      </c>
      <c r="P260">
        <f>IF(M260="Yes",C260&amp;"|anchor","")</f>
        <v/>
      </c>
      <c r="Q260">
        <f>IF(M260="Yes",B260,"")</f>
        <v/>
      </c>
    </row>
    <row r="261">
      <c r="A261">
        <f>Input_Data!A261</f>
        <v/>
      </c>
      <c r="B261">
        <f>Input_Data!B261</f>
        <v/>
      </c>
      <c r="C261">
        <f>Input_Data!C261</f>
        <v/>
      </c>
      <c r="D261">
        <f>IF(A261="","",SUM(Input_Data!D261:I261))</f>
        <v/>
      </c>
      <c r="E261">
        <f>IF(D261="","",D261/6)</f>
        <v/>
      </c>
      <c r="F261" s="2">
        <f>IF(D261="","",IF(COUNTA($D$2:$D$300)&lt;=1,0,PERCENTRANK.INC($D$2:$D$300,D261)))</f>
        <v/>
      </c>
      <c r="G261" s="2">
        <f>Input_Data!J261</f>
        <v/>
      </c>
      <c r="H261" s="2">
        <f>IF(G261="","",IF(COUNTA($G$2:$G$300)&lt;=1,0,PERCENTRANK.INC($G$2:$G$300,G261)))</f>
        <v/>
      </c>
      <c r="I261" s="2">
        <f>IF(F261="","",1-F261)</f>
        <v/>
      </c>
      <c r="J261" s="2">
        <f>IF(A261="","",0.6*I261+0.4*H261)</f>
        <v/>
      </c>
      <c r="K261">
        <f>IF(F261="","",IF(F261&lt;=0.33,"Low Movement",IF(F261&lt;=0.66,"Medium Movement","High Movement")))</f>
        <v/>
      </c>
      <c r="L261">
        <f>IF(J261="","",IF(J261&gt;=0.67,"High Value Bundle",IF(J261&gt;=0.34,"Medium Value Bundle","Low Value Bundle")))</f>
        <v/>
      </c>
      <c r="M261">
        <f>IF(A261="","",IF(AND(F261&gt;=0.66,H261&gt;=0.66),"Yes","No"))</f>
        <v/>
      </c>
      <c r="N261">
        <f>IF(A261="","",IF(K261="Low Movement","Yes","No"))</f>
        <v/>
      </c>
      <c r="O261" s="2">
        <f>IF(L261="","",IF(L261="High Value Bundle",0.10,IF(L261="Medium Value Bundle",0.15,0.20)))</f>
        <v/>
      </c>
      <c r="P261">
        <f>IF(M261="Yes",C261&amp;"|anchor","")</f>
        <v/>
      </c>
      <c r="Q261">
        <f>IF(M261="Yes",B261,"")</f>
        <v/>
      </c>
    </row>
    <row r="262">
      <c r="A262">
        <f>Input_Data!A262</f>
        <v/>
      </c>
      <c r="B262">
        <f>Input_Data!B262</f>
        <v/>
      </c>
      <c r="C262">
        <f>Input_Data!C262</f>
        <v/>
      </c>
      <c r="D262">
        <f>IF(A262="","",SUM(Input_Data!D262:I262))</f>
        <v/>
      </c>
      <c r="E262">
        <f>IF(D262="","",D262/6)</f>
        <v/>
      </c>
      <c r="F262" s="2">
        <f>IF(D262="","",IF(COUNTA($D$2:$D$300)&lt;=1,0,PERCENTRANK.INC($D$2:$D$300,D262)))</f>
        <v/>
      </c>
      <c r="G262" s="2">
        <f>Input_Data!J262</f>
        <v/>
      </c>
      <c r="H262" s="2">
        <f>IF(G262="","",IF(COUNTA($G$2:$G$300)&lt;=1,0,PERCENTRANK.INC($G$2:$G$300,G262)))</f>
        <v/>
      </c>
      <c r="I262" s="2">
        <f>IF(F262="","",1-F262)</f>
        <v/>
      </c>
      <c r="J262" s="2">
        <f>IF(A262="","",0.6*I262+0.4*H262)</f>
        <v/>
      </c>
      <c r="K262">
        <f>IF(F262="","",IF(F262&lt;=0.33,"Low Movement",IF(F262&lt;=0.66,"Medium Movement","High Movement")))</f>
        <v/>
      </c>
      <c r="L262">
        <f>IF(J262="","",IF(J262&gt;=0.67,"High Value Bundle",IF(J262&gt;=0.34,"Medium Value Bundle","Low Value Bundle")))</f>
        <v/>
      </c>
      <c r="M262">
        <f>IF(A262="","",IF(AND(F262&gt;=0.66,H262&gt;=0.66),"Yes","No"))</f>
        <v/>
      </c>
      <c r="N262">
        <f>IF(A262="","",IF(K262="Low Movement","Yes","No"))</f>
        <v/>
      </c>
      <c r="O262" s="2">
        <f>IF(L262="","",IF(L262="High Value Bundle",0.10,IF(L262="Medium Value Bundle",0.15,0.20)))</f>
        <v/>
      </c>
      <c r="P262">
        <f>IF(M262="Yes",C262&amp;"|anchor","")</f>
        <v/>
      </c>
      <c r="Q262">
        <f>IF(M262="Yes",B262,"")</f>
        <v/>
      </c>
    </row>
    <row r="263">
      <c r="A263">
        <f>Input_Data!A263</f>
        <v/>
      </c>
      <c r="B263">
        <f>Input_Data!B263</f>
        <v/>
      </c>
      <c r="C263">
        <f>Input_Data!C263</f>
        <v/>
      </c>
      <c r="D263">
        <f>IF(A263="","",SUM(Input_Data!D263:I263))</f>
        <v/>
      </c>
      <c r="E263">
        <f>IF(D263="","",D263/6)</f>
        <v/>
      </c>
      <c r="F263" s="2">
        <f>IF(D263="","",IF(COUNTA($D$2:$D$300)&lt;=1,0,PERCENTRANK.INC($D$2:$D$300,D263)))</f>
        <v/>
      </c>
      <c r="G263" s="2">
        <f>Input_Data!J263</f>
        <v/>
      </c>
      <c r="H263" s="2">
        <f>IF(G263="","",IF(COUNTA($G$2:$G$300)&lt;=1,0,PERCENTRANK.INC($G$2:$G$300,G263)))</f>
        <v/>
      </c>
      <c r="I263" s="2">
        <f>IF(F263="","",1-F263)</f>
        <v/>
      </c>
      <c r="J263" s="2">
        <f>IF(A263="","",0.6*I263+0.4*H263)</f>
        <v/>
      </c>
      <c r="K263">
        <f>IF(F263="","",IF(F263&lt;=0.33,"Low Movement",IF(F263&lt;=0.66,"Medium Movement","High Movement")))</f>
        <v/>
      </c>
      <c r="L263">
        <f>IF(J263="","",IF(J263&gt;=0.67,"High Value Bundle",IF(J263&gt;=0.34,"Medium Value Bundle","Low Value Bundle")))</f>
        <v/>
      </c>
      <c r="M263">
        <f>IF(A263="","",IF(AND(F263&gt;=0.66,H263&gt;=0.66),"Yes","No"))</f>
        <v/>
      </c>
      <c r="N263">
        <f>IF(A263="","",IF(K263="Low Movement","Yes","No"))</f>
        <v/>
      </c>
      <c r="O263" s="2">
        <f>IF(L263="","",IF(L263="High Value Bundle",0.10,IF(L263="Medium Value Bundle",0.15,0.20)))</f>
        <v/>
      </c>
      <c r="P263">
        <f>IF(M263="Yes",C263&amp;"|anchor","")</f>
        <v/>
      </c>
      <c r="Q263">
        <f>IF(M263="Yes",B263,"")</f>
        <v/>
      </c>
    </row>
    <row r="264">
      <c r="A264">
        <f>Input_Data!A264</f>
        <v/>
      </c>
      <c r="B264">
        <f>Input_Data!B264</f>
        <v/>
      </c>
      <c r="C264">
        <f>Input_Data!C264</f>
        <v/>
      </c>
      <c r="D264">
        <f>IF(A264="","",SUM(Input_Data!D264:I264))</f>
        <v/>
      </c>
      <c r="E264">
        <f>IF(D264="","",D264/6)</f>
        <v/>
      </c>
      <c r="F264" s="2">
        <f>IF(D264="","",IF(COUNTA($D$2:$D$300)&lt;=1,0,PERCENTRANK.INC($D$2:$D$300,D264)))</f>
        <v/>
      </c>
      <c r="G264" s="2">
        <f>Input_Data!J264</f>
        <v/>
      </c>
      <c r="H264" s="2">
        <f>IF(G264="","",IF(COUNTA($G$2:$G$300)&lt;=1,0,PERCENTRANK.INC($G$2:$G$300,G264)))</f>
        <v/>
      </c>
      <c r="I264" s="2">
        <f>IF(F264="","",1-F264)</f>
        <v/>
      </c>
      <c r="J264" s="2">
        <f>IF(A264="","",0.6*I264+0.4*H264)</f>
        <v/>
      </c>
      <c r="K264">
        <f>IF(F264="","",IF(F264&lt;=0.33,"Low Movement",IF(F264&lt;=0.66,"Medium Movement","High Movement")))</f>
        <v/>
      </c>
      <c r="L264">
        <f>IF(J264="","",IF(J264&gt;=0.67,"High Value Bundle",IF(J264&gt;=0.34,"Medium Value Bundle","Low Value Bundle")))</f>
        <v/>
      </c>
      <c r="M264">
        <f>IF(A264="","",IF(AND(F264&gt;=0.66,H264&gt;=0.66),"Yes","No"))</f>
        <v/>
      </c>
      <c r="N264">
        <f>IF(A264="","",IF(K264="Low Movement","Yes","No"))</f>
        <v/>
      </c>
      <c r="O264" s="2">
        <f>IF(L264="","",IF(L264="High Value Bundle",0.10,IF(L264="Medium Value Bundle",0.15,0.20)))</f>
        <v/>
      </c>
      <c r="P264">
        <f>IF(M264="Yes",C264&amp;"|anchor","")</f>
        <v/>
      </c>
      <c r="Q264">
        <f>IF(M264="Yes",B264,"")</f>
        <v/>
      </c>
    </row>
    <row r="265">
      <c r="A265">
        <f>Input_Data!A265</f>
        <v/>
      </c>
      <c r="B265">
        <f>Input_Data!B265</f>
        <v/>
      </c>
      <c r="C265">
        <f>Input_Data!C265</f>
        <v/>
      </c>
      <c r="D265">
        <f>IF(A265="","",SUM(Input_Data!D265:I265))</f>
        <v/>
      </c>
      <c r="E265">
        <f>IF(D265="","",D265/6)</f>
        <v/>
      </c>
      <c r="F265" s="2">
        <f>IF(D265="","",IF(COUNTA($D$2:$D$300)&lt;=1,0,PERCENTRANK.INC($D$2:$D$300,D265)))</f>
        <v/>
      </c>
      <c r="G265" s="2">
        <f>Input_Data!J265</f>
        <v/>
      </c>
      <c r="H265" s="2">
        <f>IF(G265="","",IF(COUNTA($G$2:$G$300)&lt;=1,0,PERCENTRANK.INC($G$2:$G$300,G265)))</f>
        <v/>
      </c>
      <c r="I265" s="2">
        <f>IF(F265="","",1-F265)</f>
        <v/>
      </c>
      <c r="J265" s="2">
        <f>IF(A265="","",0.6*I265+0.4*H265)</f>
        <v/>
      </c>
      <c r="K265">
        <f>IF(F265="","",IF(F265&lt;=0.33,"Low Movement",IF(F265&lt;=0.66,"Medium Movement","High Movement")))</f>
        <v/>
      </c>
      <c r="L265">
        <f>IF(J265="","",IF(J265&gt;=0.67,"High Value Bundle",IF(J265&gt;=0.34,"Medium Value Bundle","Low Value Bundle")))</f>
        <v/>
      </c>
      <c r="M265">
        <f>IF(A265="","",IF(AND(F265&gt;=0.66,H265&gt;=0.66),"Yes","No"))</f>
        <v/>
      </c>
      <c r="N265">
        <f>IF(A265="","",IF(K265="Low Movement","Yes","No"))</f>
        <v/>
      </c>
      <c r="O265" s="2">
        <f>IF(L265="","",IF(L265="High Value Bundle",0.10,IF(L265="Medium Value Bundle",0.15,0.20)))</f>
        <v/>
      </c>
      <c r="P265">
        <f>IF(M265="Yes",C265&amp;"|anchor","")</f>
        <v/>
      </c>
      <c r="Q265">
        <f>IF(M265="Yes",B265,"")</f>
        <v/>
      </c>
    </row>
    <row r="266">
      <c r="A266">
        <f>Input_Data!A266</f>
        <v/>
      </c>
      <c r="B266">
        <f>Input_Data!B266</f>
        <v/>
      </c>
      <c r="C266">
        <f>Input_Data!C266</f>
        <v/>
      </c>
      <c r="D266">
        <f>IF(A266="","",SUM(Input_Data!D266:I266))</f>
        <v/>
      </c>
      <c r="E266">
        <f>IF(D266="","",D266/6)</f>
        <v/>
      </c>
      <c r="F266" s="2">
        <f>IF(D266="","",IF(COUNTA($D$2:$D$300)&lt;=1,0,PERCENTRANK.INC($D$2:$D$300,D266)))</f>
        <v/>
      </c>
      <c r="G266" s="2">
        <f>Input_Data!J266</f>
        <v/>
      </c>
      <c r="H266" s="2">
        <f>IF(G266="","",IF(COUNTA($G$2:$G$300)&lt;=1,0,PERCENTRANK.INC($G$2:$G$300,G266)))</f>
        <v/>
      </c>
      <c r="I266" s="2">
        <f>IF(F266="","",1-F266)</f>
        <v/>
      </c>
      <c r="J266" s="2">
        <f>IF(A266="","",0.6*I266+0.4*H266)</f>
        <v/>
      </c>
      <c r="K266">
        <f>IF(F266="","",IF(F266&lt;=0.33,"Low Movement",IF(F266&lt;=0.66,"Medium Movement","High Movement")))</f>
        <v/>
      </c>
      <c r="L266">
        <f>IF(J266="","",IF(J266&gt;=0.67,"High Value Bundle",IF(J266&gt;=0.34,"Medium Value Bundle","Low Value Bundle")))</f>
        <v/>
      </c>
      <c r="M266">
        <f>IF(A266="","",IF(AND(F266&gt;=0.66,H266&gt;=0.66),"Yes","No"))</f>
        <v/>
      </c>
      <c r="N266">
        <f>IF(A266="","",IF(K266="Low Movement","Yes","No"))</f>
        <v/>
      </c>
      <c r="O266" s="2">
        <f>IF(L266="","",IF(L266="High Value Bundle",0.10,IF(L266="Medium Value Bundle",0.15,0.20)))</f>
        <v/>
      </c>
      <c r="P266">
        <f>IF(M266="Yes",C266&amp;"|anchor","")</f>
        <v/>
      </c>
      <c r="Q266">
        <f>IF(M266="Yes",B266,"")</f>
        <v/>
      </c>
    </row>
    <row r="267">
      <c r="A267">
        <f>Input_Data!A267</f>
        <v/>
      </c>
      <c r="B267">
        <f>Input_Data!B267</f>
        <v/>
      </c>
      <c r="C267">
        <f>Input_Data!C267</f>
        <v/>
      </c>
      <c r="D267">
        <f>IF(A267="","",SUM(Input_Data!D267:I267))</f>
        <v/>
      </c>
      <c r="E267">
        <f>IF(D267="","",D267/6)</f>
        <v/>
      </c>
      <c r="F267" s="2">
        <f>IF(D267="","",IF(COUNTA($D$2:$D$300)&lt;=1,0,PERCENTRANK.INC($D$2:$D$300,D267)))</f>
        <v/>
      </c>
      <c r="G267" s="2">
        <f>Input_Data!J267</f>
        <v/>
      </c>
      <c r="H267" s="2">
        <f>IF(G267="","",IF(COUNTA($G$2:$G$300)&lt;=1,0,PERCENTRANK.INC($G$2:$G$300,G267)))</f>
        <v/>
      </c>
      <c r="I267" s="2">
        <f>IF(F267="","",1-F267)</f>
        <v/>
      </c>
      <c r="J267" s="2">
        <f>IF(A267="","",0.6*I267+0.4*H267)</f>
        <v/>
      </c>
      <c r="K267">
        <f>IF(F267="","",IF(F267&lt;=0.33,"Low Movement",IF(F267&lt;=0.66,"Medium Movement","High Movement")))</f>
        <v/>
      </c>
      <c r="L267">
        <f>IF(J267="","",IF(J267&gt;=0.67,"High Value Bundle",IF(J267&gt;=0.34,"Medium Value Bundle","Low Value Bundle")))</f>
        <v/>
      </c>
      <c r="M267">
        <f>IF(A267="","",IF(AND(F267&gt;=0.66,H267&gt;=0.66),"Yes","No"))</f>
        <v/>
      </c>
      <c r="N267">
        <f>IF(A267="","",IF(K267="Low Movement","Yes","No"))</f>
        <v/>
      </c>
      <c r="O267" s="2">
        <f>IF(L267="","",IF(L267="High Value Bundle",0.10,IF(L267="Medium Value Bundle",0.15,0.20)))</f>
        <v/>
      </c>
      <c r="P267">
        <f>IF(M267="Yes",C267&amp;"|anchor","")</f>
        <v/>
      </c>
      <c r="Q267">
        <f>IF(M267="Yes",B267,"")</f>
        <v/>
      </c>
    </row>
    <row r="268">
      <c r="A268">
        <f>Input_Data!A268</f>
        <v/>
      </c>
      <c r="B268">
        <f>Input_Data!B268</f>
        <v/>
      </c>
      <c r="C268">
        <f>Input_Data!C268</f>
        <v/>
      </c>
      <c r="D268">
        <f>IF(A268="","",SUM(Input_Data!D268:I268))</f>
        <v/>
      </c>
      <c r="E268">
        <f>IF(D268="","",D268/6)</f>
        <v/>
      </c>
      <c r="F268" s="2">
        <f>IF(D268="","",IF(COUNTA($D$2:$D$300)&lt;=1,0,PERCENTRANK.INC($D$2:$D$300,D268)))</f>
        <v/>
      </c>
      <c r="G268" s="2">
        <f>Input_Data!J268</f>
        <v/>
      </c>
      <c r="H268" s="2">
        <f>IF(G268="","",IF(COUNTA($G$2:$G$300)&lt;=1,0,PERCENTRANK.INC($G$2:$G$300,G268)))</f>
        <v/>
      </c>
      <c r="I268" s="2">
        <f>IF(F268="","",1-F268)</f>
        <v/>
      </c>
      <c r="J268" s="2">
        <f>IF(A268="","",0.6*I268+0.4*H268)</f>
        <v/>
      </c>
      <c r="K268">
        <f>IF(F268="","",IF(F268&lt;=0.33,"Low Movement",IF(F268&lt;=0.66,"Medium Movement","High Movement")))</f>
        <v/>
      </c>
      <c r="L268">
        <f>IF(J268="","",IF(J268&gt;=0.67,"High Value Bundle",IF(J268&gt;=0.34,"Medium Value Bundle","Low Value Bundle")))</f>
        <v/>
      </c>
      <c r="M268">
        <f>IF(A268="","",IF(AND(F268&gt;=0.66,H268&gt;=0.66),"Yes","No"))</f>
        <v/>
      </c>
      <c r="N268">
        <f>IF(A268="","",IF(K268="Low Movement","Yes","No"))</f>
        <v/>
      </c>
      <c r="O268" s="2">
        <f>IF(L268="","",IF(L268="High Value Bundle",0.10,IF(L268="Medium Value Bundle",0.15,0.20)))</f>
        <v/>
      </c>
      <c r="P268">
        <f>IF(M268="Yes",C268&amp;"|anchor","")</f>
        <v/>
      </c>
      <c r="Q268">
        <f>IF(M268="Yes",B268,"")</f>
        <v/>
      </c>
    </row>
    <row r="269">
      <c r="A269">
        <f>Input_Data!A269</f>
        <v/>
      </c>
      <c r="B269">
        <f>Input_Data!B269</f>
        <v/>
      </c>
      <c r="C269">
        <f>Input_Data!C269</f>
        <v/>
      </c>
      <c r="D269">
        <f>IF(A269="","",SUM(Input_Data!D269:I269))</f>
        <v/>
      </c>
      <c r="E269">
        <f>IF(D269="","",D269/6)</f>
        <v/>
      </c>
      <c r="F269" s="2">
        <f>IF(D269="","",IF(COUNTA($D$2:$D$300)&lt;=1,0,PERCENTRANK.INC($D$2:$D$300,D269)))</f>
        <v/>
      </c>
      <c r="G269" s="2">
        <f>Input_Data!J269</f>
        <v/>
      </c>
      <c r="H269" s="2">
        <f>IF(G269="","",IF(COUNTA($G$2:$G$300)&lt;=1,0,PERCENTRANK.INC($G$2:$G$300,G269)))</f>
        <v/>
      </c>
      <c r="I269" s="2">
        <f>IF(F269="","",1-F269)</f>
        <v/>
      </c>
      <c r="J269" s="2">
        <f>IF(A269="","",0.6*I269+0.4*H269)</f>
        <v/>
      </c>
      <c r="K269">
        <f>IF(F269="","",IF(F269&lt;=0.33,"Low Movement",IF(F269&lt;=0.66,"Medium Movement","High Movement")))</f>
        <v/>
      </c>
      <c r="L269">
        <f>IF(J269="","",IF(J269&gt;=0.67,"High Value Bundle",IF(J269&gt;=0.34,"Medium Value Bundle","Low Value Bundle")))</f>
        <v/>
      </c>
      <c r="M269">
        <f>IF(A269="","",IF(AND(F269&gt;=0.66,H269&gt;=0.66),"Yes","No"))</f>
        <v/>
      </c>
      <c r="N269">
        <f>IF(A269="","",IF(K269="Low Movement","Yes","No"))</f>
        <v/>
      </c>
      <c r="O269" s="2">
        <f>IF(L269="","",IF(L269="High Value Bundle",0.10,IF(L269="Medium Value Bundle",0.15,0.20)))</f>
        <v/>
      </c>
      <c r="P269">
        <f>IF(M269="Yes",C269&amp;"|anchor","")</f>
        <v/>
      </c>
      <c r="Q269">
        <f>IF(M269="Yes",B269,"")</f>
        <v/>
      </c>
    </row>
    <row r="270">
      <c r="A270">
        <f>Input_Data!A270</f>
        <v/>
      </c>
      <c r="B270">
        <f>Input_Data!B270</f>
        <v/>
      </c>
      <c r="C270">
        <f>Input_Data!C270</f>
        <v/>
      </c>
      <c r="D270">
        <f>IF(A270="","",SUM(Input_Data!D270:I270))</f>
        <v/>
      </c>
      <c r="E270">
        <f>IF(D270="","",D270/6)</f>
        <v/>
      </c>
      <c r="F270" s="2">
        <f>IF(D270="","",IF(COUNTA($D$2:$D$300)&lt;=1,0,PERCENTRANK.INC($D$2:$D$300,D270)))</f>
        <v/>
      </c>
      <c r="G270" s="2">
        <f>Input_Data!J270</f>
        <v/>
      </c>
      <c r="H270" s="2">
        <f>IF(G270="","",IF(COUNTA($G$2:$G$300)&lt;=1,0,PERCENTRANK.INC($G$2:$G$300,G270)))</f>
        <v/>
      </c>
      <c r="I270" s="2">
        <f>IF(F270="","",1-F270)</f>
        <v/>
      </c>
      <c r="J270" s="2">
        <f>IF(A270="","",0.6*I270+0.4*H270)</f>
        <v/>
      </c>
      <c r="K270">
        <f>IF(F270="","",IF(F270&lt;=0.33,"Low Movement",IF(F270&lt;=0.66,"Medium Movement","High Movement")))</f>
        <v/>
      </c>
      <c r="L270">
        <f>IF(J270="","",IF(J270&gt;=0.67,"High Value Bundle",IF(J270&gt;=0.34,"Medium Value Bundle","Low Value Bundle")))</f>
        <v/>
      </c>
      <c r="M270">
        <f>IF(A270="","",IF(AND(F270&gt;=0.66,H270&gt;=0.66),"Yes","No"))</f>
        <v/>
      </c>
      <c r="N270">
        <f>IF(A270="","",IF(K270="Low Movement","Yes","No"))</f>
        <v/>
      </c>
      <c r="O270" s="2">
        <f>IF(L270="","",IF(L270="High Value Bundle",0.10,IF(L270="Medium Value Bundle",0.15,0.20)))</f>
        <v/>
      </c>
      <c r="P270">
        <f>IF(M270="Yes",C270&amp;"|anchor","")</f>
        <v/>
      </c>
      <c r="Q270">
        <f>IF(M270="Yes",B270,"")</f>
        <v/>
      </c>
    </row>
    <row r="271">
      <c r="A271">
        <f>Input_Data!A271</f>
        <v/>
      </c>
      <c r="B271">
        <f>Input_Data!B271</f>
        <v/>
      </c>
      <c r="C271">
        <f>Input_Data!C271</f>
        <v/>
      </c>
      <c r="D271">
        <f>IF(A271="","",SUM(Input_Data!D271:I271))</f>
        <v/>
      </c>
      <c r="E271">
        <f>IF(D271="","",D271/6)</f>
        <v/>
      </c>
      <c r="F271" s="2">
        <f>IF(D271="","",IF(COUNTA($D$2:$D$300)&lt;=1,0,PERCENTRANK.INC($D$2:$D$300,D271)))</f>
        <v/>
      </c>
      <c r="G271" s="2">
        <f>Input_Data!J271</f>
        <v/>
      </c>
      <c r="H271" s="2">
        <f>IF(G271="","",IF(COUNTA($G$2:$G$300)&lt;=1,0,PERCENTRANK.INC($G$2:$G$300,G271)))</f>
        <v/>
      </c>
      <c r="I271" s="2">
        <f>IF(F271="","",1-F271)</f>
        <v/>
      </c>
      <c r="J271" s="2">
        <f>IF(A271="","",0.6*I271+0.4*H271)</f>
        <v/>
      </c>
      <c r="K271">
        <f>IF(F271="","",IF(F271&lt;=0.33,"Low Movement",IF(F271&lt;=0.66,"Medium Movement","High Movement")))</f>
        <v/>
      </c>
      <c r="L271">
        <f>IF(J271="","",IF(J271&gt;=0.67,"High Value Bundle",IF(J271&gt;=0.34,"Medium Value Bundle","Low Value Bundle")))</f>
        <v/>
      </c>
      <c r="M271">
        <f>IF(A271="","",IF(AND(F271&gt;=0.66,H271&gt;=0.66),"Yes","No"))</f>
        <v/>
      </c>
      <c r="N271">
        <f>IF(A271="","",IF(K271="Low Movement","Yes","No"))</f>
        <v/>
      </c>
      <c r="O271" s="2">
        <f>IF(L271="","",IF(L271="High Value Bundle",0.10,IF(L271="Medium Value Bundle",0.15,0.20)))</f>
        <v/>
      </c>
      <c r="P271">
        <f>IF(M271="Yes",C271&amp;"|anchor","")</f>
        <v/>
      </c>
      <c r="Q271">
        <f>IF(M271="Yes",B271,"")</f>
        <v/>
      </c>
    </row>
    <row r="272">
      <c r="A272">
        <f>Input_Data!A272</f>
        <v/>
      </c>
      <c r="B272">
        <f>Input_Data!B272</f>
        <v/>
      </c>
      <c r="C272">
        <f>Input_Data!C272</f>
        <v/>
      </c>
      <c r="D272">
        <f>IF(A272="","",SUM(Input_Data!D272:I272))</f>
        <v/>
      </c>
      <c r="E272">
        <f>IF(D272="","",D272/6)</f>
        <v/>
      </c>
      <c r="F272" s="2">
        <f>IF(D272="","",IF(COUNTA($D$2:$D$300)&lt;=1,0,PERCENTRANK.INC($D$2:$D$300,D272)))</f>
        <v/>
      </c>
      <c r="G272" s="2">
        <f>Input_Data!J272</f>
        <v/>
      </c>
      <c r="H272" s="2">
        <f>IF(G272="","",IF(COUNTA($G$2:$G$300)&lt;=1,0,PERCENTRANK.INC($G$2:$G$300,G272)))</f>
        <v/>
      </c>
      <c r="I272" s="2">
        <f>IF(F272="","",1-F272)</f>
        <v/>
      </c>
      <c r="J272" s="2">
        <f>IF(A272="","",0.6*I272+0.4*H272)</f>
        <v/>
      </c>
      <c r="K272">
        <f>IF(F272="","",IF(F272&lt;=0.33,"Low Movement",IF(F272&lt;=0.66,"Medium Movement","High Movement")))</f>
        <v/>
      </c>
      <c r="L272">
        <f>IF(J272="","",IF(J272&gt;=0.67,"High Value Bundle",IF(J272&gt;=0.34,"Medium Value Bundle","Low Value Bundle")))</f>
        <v/>
      </c>
      <c r="M272">
        <f>IF(A272="","",IF(AND(F272&gt;=0.66,H272&gt;=0.66),"Yes","No"))</f>
        <v/>
      </c>
      <c r="N272">
        <f>IF(A272="","",IF(K272="Low Movement","Yes","No"))</f>
        <v/>
      </c>
      <c r="O272" s="2">
        <f>IF(L272="","",IF(L272="High Value Bundle",0.10,IF(L272="Medium Value Bundle",0.15,0.20)))</f>
        <v/>
      </c>
      <c r="P272">
        <f>IF(M272="Yes",C272&amp;"|anchor","")</f>
        <v/>
      </c>
      <c r="Q272">
        <f>IF(M272="Yes",B272,"")</f>
        <v/>
      </c>
    </row>
    <row r="273">
      <c r="A273">
        <f>Input_Data!A273</f>
        <v/>
      </c>
      <c r="B273">
        <f>Input_Data!B273</f>
        <v/>
      </c>
      <c r="C273">
        <f>Input_Data!C273</f>
        <v/>
      </c>
      <c r="D273">
        <f>IF(A273="","",SUM(Input_Data!D273:I273))</f>
        <v/>
      </c>
      <c r="E273">
        <f>IF(D273="","",D273/6)</f>
        <v/>
      </c>
      <c r="F273" s="2">
        <f>IF(D273="","",IF(COUNTA($D$2:$D$300)&lt;=1,0,PERCENTRANK.INC($D$2:$D$300,D273)))</f>
        <v/>
      </c>
      <c r="G273" s="2">
        <f>Input_Data!J273</f>
        <v/>
      </c>
      <c r="H273" s="2">
        <f>IF(G273="","",IF(COUNTA($G$2:$G$300)&lt;=1,0,PERCENTRANK.INC($G$2:$G$300,G273)))</f>
        <v/>
      </c>
      <c r="I273" s="2">
        <f>IF(F273="","",1-F273)</f>
        <v/>
      </c>
      <c r="J273" s="2">
        <f>IF(A273="","",0.6*I273+0.4*H273)</f>
        <v/>
      </c>
      <c r="K273">
        <f>IF(F273="","",IF(F273&lt;=0.33,"Low Movement",IF(F273&lt;=0.66,"Medium Movement","High Movement")))</f>
        <v/>
      </c>
      <c r="L273">
        <f>IF(J273="","",IF(J273&gt;=0.67,"High Value Bundle",IF(J273&gt;=0.34,"Medium Value Bundle","Low Value Bundle")))</f>
        <v/>
      </c>
      <c r="M273">
        <f>IF(A273="","",IF(AND(F273&gt;=0.66,H273&gt;=0.66),"Yes","No"))</f>
        <v/>
      </c>
      <c r="N273">
        <f>IF(A273="","",IF(K273="Low Movement","Yes","No"))</f>
        <v/>
      </c>
      <c r="O273" s="2">
        <f>IF(L273="","",IF(L273="High Value Bundle",0.10,IF(L273="Medium Value Bundle",0.15,0.20)))</f>
        <v/>
      </c>
      <c r="P273">
        <f>IF(M273="Yes",C273&amp;"|anchor","")</f>
        <v/>
      </c>
      <c r="Q273">
        <f>IF(M273="Yes",B273,"")</f>
        <v/>
      </c>
    </row>
    <row r="274">
      <c r="A274">
        <f>Input_Data!A274</f>
        <v/>
      </c>
      <c r="B274">
        <f>Input_Data!B274</f>
        <v/>
      </c>
      <c r="C274">
        <f>Input_Data!C274</f>
        <v/>
      </c>
      <c r="D274">
        <f>IF(A274="","",SUM(Input_Data!D274:I274))</f>
        <v/>
      </c>
      <c r="E274">
        <f>IF(D274="","",D274/6)</f>
        <v/>
      </c>
      <c r="F274" s="2">
        <f>IF(D274="","",IF(COUNTA($D$2:$D$300)&lt;=1,0,PERCENTRANK.INC($D$2:$D$300,D274)))</f>
        <v/>
      </c>
      <c r="G274" s="2">
        <f>Input_Data!J274</f>
        <v/>
      </c>
      <c r="H274" s="2">
        <f>IF(G274="","",IF(COUNTA($G$2:$G$300)&lt;=1,0,PERCENTRANK.INC($G$2:$G$300,G274)))</f>
        <v/>
      </c>
      <c r="I274" s="2">
        <f>IF(F274="","",1-F274)</f>
        <v/>
      </c>
      <c r="J274" s="2">
        <f>IF(A274="","",0.6*I274+0.4*H274)</f>
        <v/>
      </c>
      <c r="K274">
        <f>IF(F274="","",IF(F274&lt;=0.33,"Low Movement",IF(F274&lt;=0.66,"Medium Movement","High Movement")))</f>
        <v/>
      </c>
      <c r="L274">
        <f>IF(J274="","",IF(J274&gt;=0.67,"High Value Bundle",IF(J274&gt;=0.34,"Medium Value Bundle","Low Value Bundle")))</f>
        <v/>
      </c>
      <c r="M274">
        <f>IF(A274="","",IF(AND(F274&gt;=0.66,H274&gt;=0.66),"Yes","No"))</f>
        <v/>
      </c>
      <c r="N274">
        <f>IF(A274="","",IF(K274="Low Movement","Yes","No"))</f>
        <v/>
      </c>
      <c r="O274" s="2">
        <f>IF(L274="","",IF(L274="High Value Bundle",0.10,IF(L274="Medium Value Bundle",0.15,0.20)))</f>
        <v/>
      </c>
      <c r="P274">
        <f>IF(M274="Yes",C274&amp;"|anchor","")</f>
        <v/>
      </c>
      <c r="Q274">
        <f>IF(M274="Yes",B274,"")</f>
        <v/>
      </c>
    </row>
    <row r="275">
      <c r="A275">
        <f>Input_Data!A275</f>
        <v/>
      </c>
      <c r="B275">
        <f>Input_Data!B275</f>
        <v/>
      </c>
      <c r="C275">
        <f>Input_Data!C275</f>
        <v/>
      </c>
      <c r="D275">
        <f>IF(A275="","",SUM(Input_Data!D275:I275))</f>
        <v/>
      </c>
      <c r="E275">
        <f>IF(D275="","",D275/6)</f>
        <v/>
      </c>
      <c r="F275" s="2">
        <f>IF(D275="","",IF(COUNTA($D$2:$D$300)&lt;=1,0,PERCENTRANK.INC($D$2:$D$300,D275)))</f>
        <v/>
      </c>
      <c r="G275" s="2">
        <f>Input_Data!J275</f>
        <v/>
      </c>
      <c r="H275" s="2">
        <f>IF(G275="","",IF(COUNTA($G$2:$G$300)&lt;=1,0,PERCENTRANK.INC($G$2:$G$300,G275)))</f>
        <v/>
      </c>
      <c r="I275" s="2">
        <f>IF(F275="","",1-F275)</f>
        <v/>
      </c>
      <c r="J275" s="2">
        <f>IF(A275="","",0.6*I275+0.4*H275)</f>
        <v/>
      </c>
      <c r="K275">
        <f>IF(F275="","",IF(F275&lt;=0.33,"Low Movement",IF(F275&lt;=0.66,"Medium Movement","High Movement")))</f>
        <v/>
      </c>
      <c r="L275">
        <f>IF(J275="","",IF(J275&gt;=0.67,"High Value Bundle",IF(J275&gt;=0.34,"Medium Value Bundle","Low Value Bundle")))</f>
        <v/>
      </c>
      <c r="M275">
        <f>IF(A275="","",IF(AND(F275&gt;=0.66,H275&gt;=0.66),"Yes","No"))</f>
        <v/>
      </c>
      <c r="N275">
        <f>IF(A275="","",IF(K275="Low Movement","Yes","No"))</f>
        <v/>
      </c>
      <c r="O275" s="2">
        <f>IF(L275="","",IF(L275="High Value Bundle",0.10,IF(L275="Medium Value Bundle",0.15,0.20)))</f>
        <v/>
      </c>
      <c r="P275">
        <f>IF(M275="Yes",C275&amp;"|anchor","")</f>
        <v/>
      </c>
      <c r="Q275">
        <f>IF(M275="Yes",B275,"")</f>
        <v/>
      </c>
    </row>
    <row r="276">
      <c r="A276">
        <f>Input_Data!A276</f>
        <v/>
      </c>
      <c r="B276">
        <f>Input_Data!B276</f>
        <v/>
      </c>
      <c r="C276">
        <f>Input_Data!C276</f>
        <v/>
      </c>
      <c r="D276">
        <f>IF(A276="","",SUM(Input_Data!D276:I276))</f>
        <v/>
      </c>
      <c r="E276">
        <f>IF(D276="","",D276/6)</f>
        <v/>
      </c>
      <c r="F276" s="2">
        <f>IF(D276="","",IF(COUNTA($D$2:$D$300)&lt;=1,0,PERCENTRANK.INC($D$2:$D$300,D276)))</f>
        <v/>
      </c>
      <c r="G276" s="2">
        <f>Input_Data!J276</f>
        <v/>
      </c>
      <c r="H276" s="2">
        <f>IF(G276="","",IF(COUNTA($G$2:$G$300)&lt;=1,0,PERCENTRANK.INC($G$2:$G$300,G276)))</f>
        <v/>
      </c>
      <c r="I276" s="2">
        <f>IF(F276="","",1-F276)</f>
        <v/>
      </c>
      <c r="J276" s="2">
        <f>IF(A276="","",0.6*I276+0.4*H276)</f>
        <v/>
      </c>
      <c r="K276">
        <f>IF(F276="","",IF(F276&lt;=0.33,"Low Movement",IF(F276&lt;=0.66,"Medium Movement","High Movement")))</f>
        <v/>
      </c>
      <c r="L276">
        <f>IF(J276="","",IF(J276&gt;=0.67,"High Value Bundle",IF(J276&gt;=0.34,"Medium Value Bundle","Low Value Bundle")))</f>
        <v/>
      </c>
      <c r="M276">
        <f>IF(A276="","",IF(AND(F276&gt;=0.66,H276&gt;=0.66),"Yes","No"))</f>
        <v/>
      </c>
      <c r="N276">
        <f>IF(A276="","",IF(K276="Low Movement","Yes","No"))</f>
        <v/>
      </c>
      <c r="O276" s="2">
        <f>IF(L276="","",IF(L276="High Value Bundle",0.10,IF(L276="Medium Value Bundle",0.15,0.20)))</f>
        <v/>
      </c>
      <c r="P276">
        <f>IF(M276="Yes",C276&amp;"|anchor","")</f>
        <v/>
      </c>
      <c r="Q276">
        <f>IF(M276="Yes",B276,"")</f>
        <v/>
      </c>
    </row>
    <row r="277">
      <c r="A277">
        <f>Input_Data!A277</f>
        <v/>
      </c>
      <c r="B277">
        <f>Input_Data!B277</f>
        <v/>
      </c>
      <c r="C277">
        <f>Input_Data!C277</f>
        <v/>
      </c>
      <c r="D277">
        <f>IF(A277="","",SUM(Input_Data!D277:I277))</f>
        <v/>
      </c>
      <c r="E277">
        <f>IF(D277="","",D277/6)</f>
        <v/>
      </c>
      <c r="F277" s="2">
        <f>IF(D277="","",IF(COUNTA($D$2:$D$300)&lt;=1,0,PERCENTRANK.INC($D$2:$D$300,D277)))</f>
        <v/>
      </c>
      <c r="G277" s="2">
        <f>Input_Data!J277</f>
        <v/>
      </c>
      <c r="H277" s="2">
        <f>IF(G277="","",IF(COUNTA($G$2:$G$300)&lt;=1,0,PERCENTRANK.INC($G$2:$G$300,G277)))</f>
        <v/>
      </c>
      <c r="I277" s="2">
        <f>IF(F277="","",1-F277)</f>
        <v/>
      </c>
      <c r="J277" s="2">
        <f>IF(A277="","",0.6*I277+0.4*H277)</f>
        <v/>
      </c>
      <c r="K277">
        <f>IF(F277="","",IF(F277&lt;=0.33,"Low Movement",IF(F277&lt;=0.66,"Medium Movement","High Movement")))</f>
        <v/>
      </c>
      <c r="L277">
        <f>IF(J277="","",IF(J277&gt;=0.67,"High Value Bundle",IF(J277&gt;=0.34,"Medium Value Bundle","Low Value Bundle")))</f>
        <v/>
      </c>
      <c r="M277">
        <f>IF(A277="","",IF(AND(F277&gt;=0.66,H277&gt;=0.66),"Yes","No"))</f>
        <v/>
      </c>
      <c r="N277">
        <f>IF(A277="","",IF(K277="Low Movement","Yes","No"))</f>
        <v/>
      </c>
      <c r="O277" s="2">
        <f>IF(L277="","",IF(L277="High Value Bundle",0.10,IF(L277="Medium Value Bundle",0.15,0.20)))</f>
        <v/>
      </c>
      <c r="P277">
        <f>IF(M277="Yes",C277&amp;"|anchor","")</f>
        <v/>
      </c>
      <c r="Q277">
        <f>IF(M277="Yes",B277,"")</f>
        <v/>
      </c>
    </row>
    <row r="278">
      <c r="A278">
        <f>Input_Data!A278</f>
        <v/>
      </c>
      <c r="B278">
        <f>Input_Data!B278</f>
        <v/>
      </c>
      <c r="C278">
        <f>Input_Data!C278</f>
        <v/>
      </c>
      <c r="D278">
        <f>IF(A278="","",SUM(Input_Data!D278:I278))</f>
        <v/>
      </c>
      <c r="E278">
        <f>IF(D278="","",D278/6)</f>
        <v/>
      </c>
      <c r="F278" s="2">
        <f>IF(D278="","",IF(COUNTA($D$2:$D$300)&lt;=1,0,PERCENTRANK.INC($D$2:$D$300,D278)))</f>
        <v/>
      </c>
      <c r="G278" s="2">
        <f>Input_Data!J278</f>
        <v/>
      </c>
      <c r="H278" s="2">
        <f>IF(G278="","",IF(COUNTA($G$2:$G$300)&lt;=1,0,PERCENTRANK.INC($G$2:$G$300,G278)))</f>
        <v/>
      </c>
      <c r="I278" s="2">
        <f>IF(F278="","",1-F278)</f>
        <v/>
      </c>
      <c r="J278" s="2">
        <f>IF(A278="","",0.6*I278+0.4*H278)</f>
        <v/>
      </c>
      <c r="K278">
        <f>IF(F278="","",IF(F278&lt;=0.33,"Low Movement",IF(F278&lt;=0.66,"Medium Movement","High Movement")))</f>
        <v/>
      </c>
      <c r="L278">
        <f>IF(J278="","",IF(J278&gt;=0.67,"High Value Bundle",IF(J278&gt;=0.34,"Medium Value Bundle","Low Value Bundle")))</f>
        <v/>
      </c>
      <c r="M278">
        <f>IF(A278="","",IF(AND(F278&gt;=0.66,H278&gt;=0.66),"Yes","No"))</f>
        <v/>
      </c>
      <c r="N278">
        <f>IF(A278="","",IF(K278="Low Movement","Yes","No"))</f>
        <v/>
      </c>
      <c r="O278" s="2">
        <f>IF(L278="","",IF(L278="High Value Bundle",0.10,IF(L278="Medium Value Bundle",0.15,0.20)))</f>
        <v/>
      </c>
      <c r="P278">
        <f>IF(M278="Yes",C278&amp;"|anchor","")</f>
        <v/>
      </c>
      <c r="Q278">
        <f>IF(M278="Yes",B278,"")</f>
        <v/>
      </c>
    </row>
    <row r="279">
      <c r="A279">
        <f>Input_Data!A279</f>
        <v/>
      </c>
      <c r="B279">
        <f>Input_Data!B279</f>
        <v/>
      </c>
      <c r="C279">
        <f>Input_Data!C279</f>
        <v/>
      </c>
      <c r="D279">
        <f>IF(A279="","",SUM(Input_Data!D279:I279))</f>
        <v/>
      </c>
      <c r="E279">
        <f>IF(D279="","",D279/6)</f>
        <v/>
      </c>
      <c r="F279" s="2">
        <f>IF(D279="","",IF(COUNTA($D$2:$D$300)&lt;=1,0,PERCENTRANK.INC($D$2:$D$300,D279)))</f>
        <v/>
      </c>
      <c r="G279" s="2">
        <f>Input_Data!J279</f>
        <v/>
      </c>
      <c r="H279" s="2">
        <f>IF(G279="","",IF(COUNTA($G$2:$G$300)&lt;=1,0,PERCENTRANK.INC($G$2:$G$300,G279)))</f>
        <v/>
      </c>
      <c r="I279" s="2">
        <f>IF(F279="","",1-F279)</f>
        <v/>
      </c>
      <c r="J279" s="2">
        <f>IF(A279="","",0.6*I279+0.4*H279)</f>
        <v/>
      </c>
      <c r="K279">
        <f>IF(F279="","",IF(F279&lt;=0.33,"Low Movement",IF(F279&lt;=0.66,"Medium Movement","High Movement")))</f>
        <v/>
      </c>
      <c r="L279">
        <f>IF(J279="","",IF(J279&gt;=0.67,"High Value Bundle",IF(J279&gt;=0.34,"Medium Value Bundle","Low Value Bundle")))</f>
        <v/>
      </c>
      <c r="M279">
        <f>IF(A279="","",IF(AND(F279&gt;=0.66,H279&gt;=0.66),"Yes","No"))</f>
        <v/>
      </c>
      <c r="N279">
        <f>IF(A279="","",IF(K279="Low Movement","Yes","No"))</f>
        <v/>
      </c>
      <c r="O279" s="2">
        <f>IF(L279="","",IF(L279="High Value Bundle",0.10,IF(L279="Medium Value Bundle",0.15,0.20)))</f>
        <v/>
      </c>
      <c r="P279">
        <f>IF(M279="Yes",C279&amp;"|anchor","")</f>
        <v/>
      </c>
      <c r="Q279">
        <f>IF(M279="Yes",B279,"")</f>
        <v/>
      </c>
    </row>
    <row r="280">
      <c r="A280">
        <f>Input_Data!A280</f>
        <v/>
      </c>
      <c r="B280">
        <f>Input_Data!B280</f>
        <v/>
      </c>
      <c r="C280">
        <f>Input_Data!C280</f>
        <v/>
      </c>
      <c r="D280">
        <f>IF(A280="","",SUM(Input_Data!D280:I280))</f>
        <v/>
      </c>
      <c r="E280">
        <f>IF(D280="","",D280/6)</f>
        <v/>
      </c>
      <c r="F280" s="2">
        <f>IF(D280="","",IF(COUNTA($D$2:$D$300)&lt;=1,0,PERCENTRANK.INC($D$2:$D$300,D280)))</f>
        <v/>
      </c>
      <c r="G280" s="2">
        <f>Input_Data!J280</f>
        <v/>
      </c>
      <c r="H280" s="2">
        <f>IF(G280="","",IF(COUNTA($G$2:$G$300)&lt;=1,0,PERCENTRANK.INC($G$2:$G$300,G280)))</f>
        <v/>
      </c>
      <c r="I280" s="2">
        <f>IF(F280="","",1-F280)</f>
        <v/>
      </c>
      <c r="J280" s="2">
        <f>IF(A280="","",0.6*I280+0.4*H280)</f>
        <v/>
      </c>
      <c r="K280">
        <f>IF(F280="","",IF(F280&lt;=0.33,"Low Movement",IF(F280&lt;=0.66,"Medium Movement","High Movement")))</f>
        <v/>
      </c>
      <c r="L280">
        <f>IF(J280="","",IF(J280&gt;=0.67,"High Value Bundle",IF(J280&gt;=0.34,"Medium Value Bundle","Low Value Bundle")))</f>
        <v/>
      </c>
      <c r="M280">
        <f>IF(A280="","",IF(AND(F280&gt;=0.66,H280&gt;=0.66),"Yes","No"))</f>
        <v/>
      </c>
      <c r="N280">
        <f>IF(A280="","",IF(K280="Low Movement","Yes","No"))</f>
        <v/>
      </c>
      <c r="O280" s="2">
        <f>IF(L280="","",IF(L280="High Value Bundle",0.10,IF(L280="Medium Value Bundle",0.15,0.20)))</f>
        <v/>
      </c>
      <c r="P280">
        <f>IF(M280="Yes",C280&amp;"|anchor","")</f>
        <v/>
      </c>
      <c r="Q280">
        <f>IF(M280="Yes",B280,"")</f>
        <v/>
      </c>
    </row>
    <row r="281">
      <c r="A281">
        <f>Input_Data!A281</f>
        <v/>
      </c>
      <c r="B281">
        <f>Input_Data!B281</f>
        <v/>
      </c>
      <c r="C281">
        <f>Input_Data!C281</f>
        <v/>
      </c>
      <c r="D281">
        <f>IF(A281="","",SUM(Input_Data!D281:I281))</f>
        <v/>
      </c>
      <c r="E281">
        <f>IF(D281="","",D281/6)</f>
        <v/>
      </c>
      <c r="F281" s="2">
        <f>IF(D281="","",IF(COUNTA($D$2:$D$300)&lt;=1,0,PERCENTRANK.INC($D$2:$D$300,D281)))</f>
        <v/>
      </c>
      <c r="G281" s="2">
        <f>Input_Data!J281</f>
        <v/>
      </c>
      <c r="H281" s="2">
        <f>IF(G281="","",IF(COUNTA($G$2:$G$300)&lt;=1,0,PERCENTRANK.INC($G$2:$G$300,G281)))</f>
        <v/>
      </c>
      <c r="I281" s="2">
        <f>IF(F281="","",1-F281)</f>
        <v/>
      </c>
      <c r="J281" s="2">
        <f>IF(A281="","",0.6*I281+0.4*H281)</f>
        <v/>
      </c>
      <c r="K281">
        <f>IF(F281="","",IF(F281&lt;=0.33,"Low Movement",IF(F281&lt;=0.66,"Medium Movement","High Movement")))</f>
        <v/>
      </c>
      <c r="L281">
        <f>IF(J281="","",IF(J281&gt;=0.67,"High Value Bundle",IF(J281&gt;=0.34,"Medium Value Bundle","Low Value Bundle")))</f>
        <v/>
      </c>
      <c r="M281">
        <f>IF(A281="","",IF(AND(F281&gt;=0.66,H281&gt;=0.66),"Yes","No"))</f>
        <v/>
      </c>
      <c r="N281">
        <f>IF(A281="","",IF(K281="Low Movement","Yes","No"))</f>
        <v/>
      </c>
      <c r="O281" s="2">
        <f>IF(L281="","",IF(L281="High Value Bundle",0.10,IF(L281="Medium Value Bundle",0.15,0.20)))</f>
        <v/>
      </c>
      <c r="P281">
        <f>IF(M281="Yes",C281&amp;"|anchor","")</f>
        <v/>
      </c>
      <c r="Q281">
        <f>IF(M281="Yes",B281,"")</f>
        <v/>
      </c>
    </row>
    <row r="282">
      <c r="A282">
        <f>Input_Data!A282</f>
        <v/>
      </c>
      <c r="B282">
        <f>Input_Data!B282</f>
        <v/>
      </c>
      <c r="C282">
        <f>Input_Data!C282</f>
        <v/>
      </c>
      <c r="D282">
        <f>IF(A282="","",SUM(Input_Data!D282:I282))</f>
        <v/>
      </c>
      <c r="E282">
        <f>IF(D282="","",D282/6)</f>
        <v/>
      </c>
      <c r="F282" s="2">
        <f>IF(D282="","",IF(COUNTA($D$2:$D$300)&lt;=1,0,PERCENTRANK.INC($D$2:$D$300,D282)))</f>
        <v/>
      </c>
      <c r="G282" s="2">
        <f>Input_Data!J282</f>
        <v/>
      </c>
      <c r="H282" s="2">
        <f>IF(G282="","",IF(COUNTA($G$2:$G$300)&lt;=1,0,PERCENTRANK.INC($G$2:$G$300,G282)))</f>
        <v/>
      </c>
      <c r="I282" s="2">
        <f>IF(F282="","",1-F282)</f>
        <v/>
      </c>
      <c r="J282" s="2">
        <f>IF(A282="","",0.6*I282+0.4*H282)</f>
        <v/>
      </c>
      <c r="K282">
        <f>IF(F282="","",IF(F282&lt;=0.33,"Low Movement",IF(F282&lt;=0.66,"Medium Movement","High Movement")))</f>
        <v/>
      </c>
      <c r="L282">
        <f>IF(J282="","",IF(J282&gt;=0.67,"High Value Bundle",IF(J282&gt;=0.34,"Medium Value Bundle","Low Value Bundle")))</f>
        <v/>
      </c>
      <c r="M282">
        <f>IF(A282="","",IF(AND(F282&gt;=0.66,H282&gt;=0.66),"Yes","No"))</f>
        <v/>
      </c>
      <c r="N282">
        <f>IF(A282="","",IF(K282="Low Movement","Yes","No"))</f>
        <v/>
      </c>
      <c r="O282" s="2">
        <f>IF(L282="","",IF(L282="High Value Bundle",0.10,IF(L282="Medium Value Bundle",0.15,0.20)))</f>
        <v/>
      </c>
      <c r="P282">
        <f>IF(M282="Yes",C282&amp;"|anchor","")</f>
        <v/>
      </c>
      <c r="Q282">
        <f>IF(M282="Yes",B282,"")</f>
        <v/>
      </c>
    </row>
    <row r="283">
      <c r="A283">
        <f>Input_Data!A283</f>
        <v/>
      </c>
      <c r="B283">
        <f>Input_Data!B283</f>
        <v/>
      </c>
      <c r="C283">
        <f>Input_Data!C283</f>
        <v/>
      </c>
      <c r="D283">
        <f>IF(A283="","",SUM(Input_Data!D283:I283))</f>
        <v/>
      </c>
      <c r="E283">
        <f>IF(D283="","",D283/6)</f>
        <v/>
      </c>
      <c r="F283" s="2">
        <f>IF(D283="","",IF(COUNTA($D$2:$D$300)&lt;=1,0,PERCENTRANK.INC($D$2:$D$300,D283)))</f>
        <v/>
      </c>
      <c r="G283" s="2">
        <f>Input_Data!J283</f>
        <v/>
      </c>
      <c r="H283" s="2">
        <f>IF(G283="","",IF(COUNTA($G$2:$G$300)&lt;=1,0,PERCENTRANK.INC($G$2:$G$300,G283)))</f>
        <v/>
      </c>
      <c r="I283" s="2">
        <f>IF(F283="","",1-F283)</f>
        <v/>
      </c>
      <c r="J283" s="2">
        <f>IF(A283="","",0.6*I283+0.4*H283)</f>
        <v/>
      </c>
      <c r="K283">
        <f>IF(F283="","",IF(F283&lt;=0.33,"Low Movement",IF(F283&lt;=0.66,"Medium Movement","High Movement")))</f>
        <v/>
      </c>
      <c r="L283">
        <f>IF(J283="","",IF(J283&gt;=0.67,"High Value Bundle",IF(J283&gt;=0.34,"Medium Value Bundle","Low Value Bundle")))</f>
        <v/>
      </c>
      <c r="M283">
        <f>IF(A283="","",IF(AND(F283&gt;=0.66,H283&gt;=0.66),"Yes","No"))</f>
        <v/>
      </c>
      <c r="N283">
        <f>IF(A283="","",IF(K283="Low Movement","Yes","No"))</f>
        <v/>
      </c>
      <c r="O283" s="2">
        <f>IF(L283="","",IF(L283="High Value Bundle",0.10,IF(L283="Medium Value Bundle",0.15,0.20)))</f>
        <v/>
      </c>
      <c r="P283">
        <f>IF(M283="Yes",C283&amp;"|anchor","")</f>
        <v/>
      </c>
      <c r="Q283">
        <f>IF(M283="Yes",B283,"")</f>
        <v/>
      </c>
    </row>
    <row r="284">
      <c r="A284">
        <f>Input_Data!A284</f>
        <v/>
      </c>
      <c r="B284">
        <f>Input_Data!B284</f>
        <v/>
      </c>
      <c r="C284">
        <f>Input_Data!C284</f>
        <v/>
      </c>
      <c r="D284">
        <f>IF(A284="","",SUM(Input_Data!D284:I284))</f>
        <v/>
      </c>
      <c r="E284">
        <f>IF(D284="","",D284/6)</f>
        <v/>
      </c>
      <c r="F284" s="2">
        <f>IF(D284="","",IF(COUNTA($D$2:$D$300)&lt;=1,0,PERCENTRANK.INC($D$2:$D$300,D284)))</f>
        <v/>
      </c>
      <c r="G284" s="2">
        <f>Input_Data!J284</f>
        <v/>
      </c>
      <c r="H284" s="2">
        <f>IF(G284="","",IF(COUNTA($G$2:$G$300)&lt;=1,0,PERCENTRANK.INC($G$2:$G$300,G284)))</f>
        <v/>
      </c>
      <c r="I284" s="2">
        <f>IF(F284="","",1-F284)</f>
        <v/>
      </c>
      <c r="J284" s="2">
        <f>IF(A284="","",0.6*I284+0.4*H284)</f>
        <v/>
      </c>
      <c r="K284">
        <f>IF(F284="","",IF(F284&lt;=0.33,"Low Movement",IF(F284&lt;=0.66,"Medium Movement","High Movement")))</f>
        <v/>
      </c>
      <c r="L284">
        <f>IF(J284="","",IF(J284&gt;=0.67,"High Value Bundle",IF(J284&gt;=0.34,"Medium Value Bundle","Low Value Bundle")))</f>
        <v/>
      </c>
      <c r="M284">
        <f>IF(A284="","",IF(AND(F284&gt;=0.66,H284&gt;=0.66),"Yes","No"))</f>
        <v/>
      </c>
      <c r="N284">
        <f>IF(A284="","",IF(K284="Low Movement","Yes","No"))</f>
        <v/>
      </c>
      <c r="O284" s="2">
        <f>IF(L284="","",IF(L284="High Value Bundle",0.10,IF(L284="Medium Value Bundle",0.15,0.20)))</f>
        <v/>
      </c>
      <c r="P284">
        <f>IF(M284="Yes",C284&amp;"|anchor","")</f>
        <v/>
      </c>
      <c r="Q284">
        <f>IF(M284="Yes",B284,"")</f>
        <v/>
      </c>
    </row>
    <row r="285">
      <c r="A285">
        <f>Input_Data!A285</f>
        <v/>
      </c>
      <c r="B285">
        <f>Input_Data!B285</f>
        <v/>
      </c>
      <c r="C285">
        <f>Input_Data!C285</f>
        <v/>
      </c>
      <c r="D285">
        <f>IF(A285="","",SUM(Input_Data!D285:I285))</f>
        <v/>
      </c>
      <c r="E285">
        <f>IF(D285="","",D285/6)</f>
        <v/>
      </c>
      <c r="F285" s="2">
        <f>IF(D285="","",IF(COUNTA($D$2:$D$300)&lt;=1,0,PERCENTRANK.INC($D$2:$D$300,D285)))</f>
        <v/>
      </c>
      <c r="G285" s="2">
        <f>Input_Data!J285</f>
        <v/>
      </c>
      <c r="H285" s="2">
        <f>IF(G285="","",IF(COUNTA($G$2:$G$300)&lt;=1,0,PERCENTRANK.INC($G$2:$G$300,G285)))</f>
        <v/>
      </c>
      <c r="I285" s="2">
        <f>IF(F285="","",1-F285)</f>
        <v/>
      </c>
      <c r="J285" s="2">
        <f>IF(A285="","",0.6*I285+0.4*H285)</f>
        <v/>
      </c>
      <c r="K285">
        <f>IF(F285="","",IF(F285&lt;=0.33,"Low Movement",IF(F285&lt;=0.66,"Medium Movement","High Movement")))</f>
        <v/>
      </c>
      <c r="L285">
        <f>IF(J285="","",IF(J285&gt;=0.67,"High Value Bundle",IF(J285&gt;=0.34,"Medium Value Bundle","Low Value Bundle")))</f>
        <v/>
      </c>
      <c r="M285">
        <f>IF(A285="","",IF(AND(F285&gt;=0.66,H285&gt;=0.66),"Yes","No"))</f>
        <v/>
      </c>
      <c r="N285">
        <f>IF(A285="","",IF(K285="Low Movement","Yes","No"))</f>
        <v/>
      </c>
      <c r="O285" s="2">
        <f>IF(L285="","",IF(L285="High Value Bundle",0.10,IF(L285="Medium Value Bundle",0.15,0.20)))</f>
        <v/>
      </c>
      <c r="P285">
        <f>IF(M285="Yes",C285&amp;"|anchor","")</f>
        <v/>
      </c>
      <c r="Q285">
        <f>IF(M285="Yes",B285,"")</f>
        <v/>
      </c>
    </row>
    <row r="286">
      <c r="A286">
        <f>Input_Data!A286</f>
        <v/>
      </c>
      <c r="B286">
        <f>Input_Data!B286</f>
        <v/>
      </c>
      <c r="C286">
        <f>Input_Data!C286</f>
        <v/>
      </c>
      <c r="D286">
        <f>IF(A286="","",SUM(Input_Data!D286:I286))</f>
        <v/>
      </c>
      <c r="E286">
        <f>IF(D286="","",D286/6)</f>
        <v/>
      </c>
      <c r="F286" s="2">
        <f>IF(D286="","",IF(COUNTA($D$2:$D$300)&lt;=1,0,PERCENTRANK.INC($D$2:$D$300,D286)))</f>
        <v/>
      </c>
      <c r="G286" s="2">
        <f>Input_Data!J286</f>
        <v/>
      </c>
      <c r="H286" s="2">
        <f>IF(G286="","",IF(COUNTA($G$2:$G$300)&lt;=1,0,PERCENTRANK.INC($G$2:$G$300,G286)))</f>
        <v/>
      </c>
      <c r="I286" s="2">
        <f>IF(F286="","",1-F286)</f>
        <v/>
      </c>
      <c r="J286" s="2">
        <f>IF(A286="","",0.6*I286+0.4*H286)</f>
        <v/>
      </c>
      <c r="K286">
        <f>IF(F286="","",IF(F286&lt;=0.33,"Low Movement",IF(F286&lt;=0.66,"Medium Movement","High Movement")))</f>
        <v/>
      </c>
      <c r="L286">
        <f>IF(J286="","",IF(J286&gt;=0.67,"High Value Bundle",IF(J286&gt;=0.34,"Medium Value Bundle","Low Value Bundle")))</f>
        <v/>
      </c>
      <c r="M286">
        <f>IF(A286="","",IF(AND(F286&gt;=0.66,H286&gt;=0.66),"Yes","No"))</f>
        <v/>
      </c>
      <c r="N286">
        <f>IF(A286="","",IF(K286="Low Movement","Yes","No"))</f>
        <v/>
      </c>
      <c r="O286" s="2">
        <f>IF(L286="","",IF(L286="High Value Bundle",0.10,IF(L286="Medium Value Bundle",0.15,0.20)))</f>
        <v/>
      </c>
      <c r="P286">
        <f>IF(M286="Yes",C286&amp;"|anchor","")</f>
        <v/>
      </c>
      <c r="Q286">
        <f>IF(M286="Yes",B286,"")</f>
        <v/>
      </c>
    </row>
    <row r="287">
      <c r="A287">
        <f>Input_Data!A287</f>
        <v/>
      </c>
      <c r="B287">
        <f>Input_Data!B287</f>
        <v/>
      </c>
      <c r="C287">
        <f>Input_Data!C287</f>
        <v/>
      </c>
      <c r="D287">
        <f>IF(A287="","",SUM(Input_Data!D287:I287))</f>
        <v/>
      </c>
      <c r="E287">
        <f>IF(D287="","",D287/6)</f>
        <v/>
      </c>
      <c r="F287" s="2">
        <f>IF(D287="","",IF(COUNTA($D$2:$D$300)&lt;=1,0,PERCENTRANK.INC($D$2:$D$300,D287)))</f>
        <v/>
      </c>
      <c r="G287" s="2">
        <f>Input_Data!J287</f>
        <v/>
      </c>
      <c r="H287" s="2">
        <f>IF(G287="","",IF(COUNTA($G$2:$G$300)&lt;=1,0,PERCENTRANK.INC($G$2:$G$300,G287)))</f>
        <v/>
      </c>
      <c r="I287" s="2">
        <f>IF(F287="","",1-F287)</f>
        <v/>
      </c>
      <c r="J287" s="2">
        <f>IF(A287="","",0.6*I287+0.4*H287)</f>
        <v/>
      </c>
      <c r="K287">
        <f>IF(F287="","",IF(F287&lt;=0.33,"Low Movement",IF(F287&lt;=0.66,"Medium Movement","High Movement")))</f>
        <v/>
      </c>
      <c r="L287">
        <f>IF(J287="","",IF(J287&gt;=0.67,"High Value Bundle",IF(J287&gt;=0.34,"Medium Value Bundle","Low Value Bundle")))</f>
        <v/>
      </c>
      <c r="M287">
        <f>IF(A287="","",IF(AND(F287&gt;=0.66,H287&gt;=0.66),"Yes","No"))</f>
        <v/>
      </c>
      <c r="N287">
        <f>IF(A287="","",IF(K287="Low Movement","Yes","No"))</f>
        <v/>
      </c>
      <c r="O287" s="2">
        <f>IF(L287="","",IF(L287="High Value Bundle",0.10,IF(L287="Medium Value Bundle",0.15,0.20)))</f>
        <v/>
      </c>
      <c r="P287">
        <f>IF(M287="Yes",C287&amp;"|anchor","")</f>
        <v/>
      </c>
      <c r="Q287">
        <f>IF(M287="Yes",B287,"")</f>
        <v/>
      </c>
    </row>
    <row r="288">
      <c r="A288">
        <f>Input_Data!A288</f>
        <v/>
      </c>
      <c r="B288">
        <f>Input_Data!B288</f>
        <v/>
      </c>
      <c r="C288">
        <f>Input_Data!C288</f>
        <v/>
      </c>
      <c r="D288">
        <f>IF(A288="","",SUM(Input_Data!D288:I288))</f>
        <v/>
      </c>
      <c r="E288">
        <f>IF(D288="","",D288/6)</f>
        <v/>
      </c>
      <c r="F288" s="2">
        <f>IF(D288="","",IF(COUNTA($D$2:$D$300)&lt;=1,0,PERCENTRANK.INC($D$2:$D$300,D288)))</f>
        <v/>
      </c>
      <c r="G288" s="2">
        <f>Input_Data!J288</f>
        <v/>
      </c>
      <c r="H288" s="2">
        <f>IF(G288="","",IF(COUNTA($G$2:$G$300)&lt;=1,0,PERCENTRANK.INC($G$2:$G$300,G288)))</f>
        <v/>
      </c>
      <c r="I288" s="2">
        <f>IF(F288="","",1-F288)</f>
        <v/>
      </c>
      <c r="J288" s="2">
        <f>IF(A288="","",0.6*I288+0.4*H288)</f>
        <v/>
      </c>
      <c r="K288">
        <f>IF(F288="","",IF(F288&lt;=0.33,"Low Movement",IF(F288&lt;=0.66,"Medium Movement","High Movement")))</f>
        <v/>
      </c>
      <c r="L288">
        <f>IF(J288="","",IF(J288&gt;=0.67,"High Value Bundle",IF(J288&gt;=0.34,"Medium Value Bundle","Low Value Bundle")))</f>
        <v/>
      </c>
      <c r="M288">
        <f>IF(A288="","",IF(AND(F288&gt;=0.66,H288&gt;=0.66),"Yes","No"))</f>
        <v/>
      </c>
      <c r="N288">
        <f>IF(A288="","",IF(K288="Low Movement","Yes","No"))</f>
        <v/>
      </c>
      <c r="O288" s="2">
        <f>IF(L288="","",IF(L288="High Value Bundle",0.10,IF(L288="Medium Value Bundle",0.15,0.20)))</f>
        <v/>
      </c>
      <c r="P288">
        <f>IF(M288="Yes",C288&amp;"|anchor","")</f>
        <v/>
      </c>
      <c r="Q288">
        <f>IF(M288="Yes",B288,"")</f>
        <v/>
      </c>
    </row>
    <row r="289">
      <c r="A289">
        <f>Input_Data!A289</f>
        <v/>
      </c>
      <c r="B289">
        <f>Input_Data!B289</f>
        <v/>
      </c>
      <c r="C289">
        <f>Input_Data!C289</f>
        <v/>
      </c>
      <c r="D289">
        <f>IF(A289="","",SUM(Input_Data!D289:I289))</f>
        <v/>
      </c>
      <c r="E289">
        <f>IF(D289="","",D289/6)</f>
        <v/>
      </c>
      <c r="F289" s="2">
        <f>IF(D289="","",IF(COUNTA($D$2:$D$300)&lt;=1,0,PERCENTRANK.INC($D$2:$D$300,D289)))</f>
        <v/>
      </c>
      <c r="G289" s="2">
        <f>Input_Data!J289</f>
        <v/>
      </c>
      <c r="H289" s="2">
        <f>IF(G289="","",IF(COUNTA($G$2:$G$300)&lt;=1,0,PERCENTRANK.INC($G$2:$G$300,G289)))</f>
        <v/>
      </c>
      <c r="I289" s="2">
        <f>IF(F289="","",1-F289)</f>
        <v/>
      </c>
      <c r="J289" s="2">
        <f>IF(A289="","",0.6*I289+0.4*H289)</f>
        <v/>
      </c>
      <c r="K289">
        <f>IF(F289="","",IF(F289&lt;=0.33,"Low Movement",IF(F289&lt;=0.66,"Medium Movement","High Movement")))</f>
        <v/>
      </c>
      <c r="L289">
        <f>IF(J289="","",IF(J289&gt;=0.67,"High Value Bundle",IF(J289&gt;=0.34,"Medium Value Bundle","Low Value Bundle")))</f>
        <v/>
      </c>
      <c r="M289">
        <f>IF(A289="","",IF(AND(F289&gt;=0.66,H289&gt;=0.66),"Yes","No"))</f>
        <v/>
      </c>
      <c r="N289">
        <f>IF(A289="","",IF(K289="Low Movement","Yes","No"))</f>
        <v/>
      </c>
      <c r="O289" s="2">
        <f>IF(L289="","",IF(L289="High Value Bundle",0.10,IF(L289="Medium Value Bundle",0.15,0.20)))</f>
        <v/>
      </c>
      <c r="P289">
        <f>IF(M289="Yes",C289&amp;"|anchor","")</f>
        <v/>
      </c>
      <c r="Q289">
        <f>IF(M289="Yes",B289,"")</f>
        <v/>
      </c>
    </row>
    <row r="290">
      <c r="A290">
        <f>Input_Data!A290</f>
        <v/>
      </c>
      <c r="B290">
        <f>Input_Data!B290</f>
        <v/>
      </c>
      <c r="C290">
        <f>Input_Data!C290</f>
        <v/>
      </c>
      <c r="D290">
        <f>IF(A290="","",SUM(Input_Data!D290:I290))</f>
        <v/>
      </c>
      <c r="E290">
        <f>IF(D290="","",D290/6)</f>
        <v/>
      </c>
      <c r="F290" s="2">
        <f>IF(D290="","",IF(COUNTA($D$2:$D$300)&lt;=1,0,PERCENTRANK.INC($D$2:$D$300,D290)))</f>
        <v/>
      </c>
      <c r="G290" s="2">
        <f>Input_Data!J290</f>
        <v/>
      </c>
      <c r="H290" s="2">
        <f>IF(G290="","",IF(COUNTA($G$2:$G$300)&lt;=1,0,PERCENTRANK.INC($G$2:$G$300,G290)))</f>
        <v/>
      </c>
      <c r="I290" s="2">
        <f>IF(F290="","",1-F290)</f>
        <v/>
      </c>
      <c r="J290" s="2">
        <f>IF(A290="","",0.6*I290+0.4*H290)</f>
        <v/>
      </c>
      <c r="K290">
        <f>IF(F290="","",IF(F290&lt;=0.33,"Low Movement",IF(F290&lt;=0.66,"Medium Movement","High Movement")))</f>
        <v/>
      </c>
      <c r="L290">
        <f>IF(J290="","",IF(J290&gt;=0.67,"High Value Bundle",IF(J290&gt;=0.34,"Medium Value Bundle","Low Value Bundle")))</f>
        <v/>
      </c>
      <c r="M290">
        <f>IF(A290="","",IF(AND(F290&gt;=0.66,H290&gt;=0.66),"Yes","No"))</f>
        <v/>
      </c>
      <c r="N290">
        <f>IF(A290="","",IF(K290="Low Movement","Yes","No"))</f>
        <v/>
      </c>
      <c r="O290" s="2">
        <f>IF(L290="","",IF(L290="High Value Bundle",0.10,IF(L290="Medium Value Bundle",0.15,0.20)))</f>
        <v/>
      </c>
      <c r="P290">
        <f>IF(M290="Yes",C290&amp;"|anchor","")</f>
        <v/>
      </c>
      <c r="Q290">
        <f>IF(M290="Yes",B290,"")</f>
        <v/>
      </c>
    </row>
    <row r="291">
      <c r="A291">
        <f>Input_Data!A291</f>
        <v/>
      </c>
      <c r="B291">
        <f>Input_Data!B291</f>
        <v/>
      </c>
      <c r="C291">
        <f>Input_Data!C291</f>
        <v/>
      </c>
      <c r="D291">
        <f>IF(A291="","",SUM(Input_Data!D291:I291))</f>
        <v/>
      </c>
      <c r="E291">
        <f>IF(D291="","",D291/6)</f>
        <v/>
      </c>
      <c r="F291" s="2">
        <f>IF(D291="","",IF(COUNTA($D$2:$D$300)&lt;=1,0,PERCENTRANK.INC($D$2:$D$300,D291)))</f>
        <v/>
      </c>
      <c r="G291" s="2">
        <f>Input_Data!J291</f>
        <v/>
      </c>
      <c r="H291" s="2">
        <f>IF(G291="","",IF(COUNTA($G$2:$G$300)&lt;=1,0,PERCENTRANK.INC($G$2:$G$300,G291)))</f>
        <v/>
      </c>
      <c r="I291" s="2">
        <f>IF(F291="","",1-F291)</f>
        <v/>
      </c>
      <c r="J291" s="2">
        <f>IF(A291="","",0.6*I291+0.4*H291)</f>
        <v/>
      </c>
      <c r="K291">
        <f>IF(F291="","",IF(F291&lt;=0.33,"Low Movement",IF(F291&lt;=0.66,"Medium Movement","High Movement")))</f>
        <v/>
      </c>
      <c r="L291">
        <f>IF(J291="","",IF(J291&gt;=0.67,"High Value Bundle",IF(J291&gt;=0.34,"Medium Value Bundle","Low Value Bundle")))</f>
        <v/>
      </c>
      <c r="M291">
        <f>IF(A291="","",IF(AND(F291&gt;=0.66,H291&gt;=0.66),"Yes","No"))</f>
        <v/>
      </c>
      <c r="N291">
        <f>IF(A291="","",IF(K291="Low Movement","Yes","No"))</f>
        <v/>
      </c>
      <c r="O291" s="2">
        <f>IF(L291="","",IF(L291="High Value Bundle",0.10,IF(L291="Medium Value Bundle",0.15,0.20)))</f>
        <v/>
      </c>
      <c r="P291">
        <f>IF(M291="Yes",C291&amp;"|anchor","")</f>
        <v/>
      </c>
      <c r="Q291">
        <f>IF(M291="Yes",B291,"")</f>
        <v/>
      </c>
    </row>
    <row r="292">
      <c r="A292">
        <f>Input_Data!A292</f>
        <v/>
      </c>
      <c r="B292">
        <f>Input_Data!B292</f>
        <v/>
      </c>
      <c r="C292">
        <f>Input_Data!C292</f>
        <v/>
      </c>
      <c r="D292">
        <f>IF(A292="","",SUM(Input_Data!D292:I292))</f>
        <v/>
      </c>
      <c r="E292">
        <f>IF(D292="","",D292/6)</f>
        <v/>
      </c>
      <c r="F292" s="2">
        <f>IF(D292="","",IF(COUNTA($D$2:$D$300)&lt;=1,0,PERCENTRANK.INC($D$2:$D$300,D292)))</f>
        <v/>
      </c>
      <c r="G292" s="2">
        <f>Input_Data!J292</f>
        <v/>
      </c>
      <c r="H292" s="2">
        <f>IF(G292="","",IF(COUNTA($G$2:$G$300)&lt;=1,0,PERCENTRANK.INC($G$2:$G$300,G292)))</f>
        <v/>
      </c>
      <c r="I292" s="2">
        <f>IF(F292="","",1-F292)</f>
        <v/>
      </c>
      <c r="J292" s="2">
        <f>IF(A292="","",0.6*I292+0.4*H292)</f>
        <v/>
      </c>
      <c r="K292">
        <f>IF(F292="","",IF(F292&lt;=0.33,"Low Movement",IF(F292&lt;=0.66,"Medium Movement","High Movement")))</f>
        <v/>
      </c>
      <c r="L292">
        <f>IF(J292="","",IF(J292&gt;=0.67,"High Value Bundle",IF(J292&gt;=0.34,"Medium Value Bundle","Low Value Bundle")))</f>
        <v/>
      </c>
      <c r="M292">
        <f>IF(A292="","",IF(AND(F292&gt;=0.66,H292&gt;=0.66),"Yes","No"))</f>
        <v/>
      </c>
      <c r="N292">
        <f>IF(A292="","",IF(K292="Low Movement","Yes","No"))</f>
        <v/>
      </c>
      <c r="O292" s="2">
        <f>IF(L292="","",IF(L292="High Value Bundle",0.10,IF(L292="Medium Value Bundle",0.15,0.20)))</f>
        <v/>
      </c>
      <c r="P292">
        <f>IF(M292="Yes",C292&amp;"|anchor","")</f>
        <v/>
      </c>
      <c r="Q292">
        <f>IF(M292="Yes",B292,"")</f>
        <v/>
      </c>
    </row>
    <row r="293">
      <c r="A293">
        <f>Input_Data!A293</f>
        <v/>
      </c>
      <c r="B293">
        <f>Input_Data!B293</f>
        <v/>
      </c>
      <c r="C293">
        <f>Input_Data!C293</f>
        <v/>
      </c>
      <c r="D293">
        <f>IF(A293="","",SUM(Input_Data!D293:I293))</f>
        <v/>
      </c>
      <c r="E293">
        <f>IF(D293="","",D293/6)</f>
        <v/>
      </c>
      <c r="F293" s="2">
        <f>IF(D293="","",IF(COUNTA($D$2:$D$300)&lt;=1,0,PERCENTRANK.INC($D$2:$D$300,D293)))</f>
        <v/>
      </c>
      <c r="G293" s="2">
        <f>Input_Data!J293</f>
        <v/>
      </c>
      <c r="H293" s="2">
        <f>IF(G293="","",IF(COUNTA($G$2:$G$300)&lt;=1,0,PERCENTRANK.INC($G$2:$G$300,G293)))</f>
        <v/>
      </c>
      <c r="I293" s="2">
        <f>IF(F293="","",1-F293)</f>
        <v/>
      </c>
      <c r="J293" s="2">
        <f>IF(A293="","",0.6*I293+0.4*H293)</f>
        <v/>
      </c>
      <c r="K293">
        <f>IF(F293="","",IF(F293&lt;=0.33,"Low Movement",IF(F293&lt;=0.66,"Medium Movement","High Movement")))</f>
        <v/>
      </c>
      <c r="L293">
        <f>IF(J293="","",IF(J293&gt;=0.67,"High Value Bundle",IF(J293&gt;=0.34,"Medium Value Bundle","Low Value Bundle")))</f>
        <v/>
      </c>
      <c r="M293">
        <f>IF(A293="","",IF(AND(F293&gt;=0.66,H293&gt;=0.66),"Yes","No"))</f>
        <v/>
      </c>
      <c r="N293">
        <f>IF(A293="","",IF(K293="Low Movement","Yes","No"))</f>
        <v/>
      </c>
      <c r="O293" s="2">
        <f>IF(L293="","",IF(L293="High Value Bundle",0.10,IF(L293="Medium Value Bundle",0.15,0.20)))</f>
        <v/>
      </c>
      <c r="P293">
        <f>IF(M293="Yes",C293&amp;"|anchor","")</f>
        <v/>
      </c>
      <c r="Q293">
        <f>IF(M293="Yes",B293,"")</f>
        <v/>
      </c>
    </row>
    <row r="294">
      <c r="A294">
        <f>Input_Data!A294</f>
        <v/>
      </c>
      <c r="B294">
        <f>Input_Data!B294</f>
        <v/>
      </c>
      <c r="C294">
        <f>Input_Data!C294</f>
        <v/>
      </c>
      <c r="D294">
        <f>IF(A294="","",SUM(Input_Data!D294:I294))</f>
        <v/>
      </c>
      <c r="E294">
        <f>IF(D294="","",D294/6)</f>
        <v/>
      </c>
      <c r="F294" s="2">
        <f>IF(D294="","",IF(COUNTA($D$2:$D$300)&lt;=1,0,PERCENTRANK.INC($D$2:$D$300,D294)))</f>
        <v/>
      </c>
      <c r="G294" s="2">
        <f>Input_Data!J294</f>
        <v/>
      </c>
      <c r="H294" s="2">
        <f>IF(G294="","",IF(COUNTA($G$2:$G$300)&lt;=1,0,PERCENTRANK.INC($G$2:$G$300,G294)))</f>
        <v/>
      </c>
      <c r="I294" s="2">
        <f>IF(F294="","",1-F294)</f>
        <v/>
      </c>
      <c r="J294" s="2">
        <f>IF(A294="","",0.6*I294+0.4*H294)</f>
        <v/>
      </c>
      <c r="K294">
        <f>IF(F294="","",IF(F294&lt;=0.33,"Low Movement",IF(F294&lt;=0.66,"Medium Movement","High Movement")))</f>
        <v/>
      </c>
      <c r="L294">
        <f>IF(J294="","",IF(J294&gt;=0.67,"High Value Bundle",IF(J294&gt;=0.34,"Medium Value Bundle","Low Value Bundle")))</f>
        <v/>
      </c>
      <c r="M294">
        <f>IF(A294="","",IF(AND(F294&gt;=0.66,H294&gt;=0.66),"Yes","No"))</f>
        <v/>
      </c>
      <c r="N294">
        <f>IF(A294="","",IF(K294="Low Movement","Yes","No"))</f>
        <v/>
      </c>
      <c r="O294" s="2">
        <f>IF(L294="","",IF(L294="High Value Bundle",0.10,IF(L294="Medium Value Bundle",0.15,0.20)))</f>
        <v/>
      </c>
      <c r="P294">
        <f>IF(M294="Yes",C294&amp;"|anchor","")</f>
        <v/>
      </c>
      <c r="Q294">
        <f>IF(M294="Yes",B294,"")</f>
        <v/>
      </c>
    </row>
    <row r="295">
      <c r="A295">
        <f>Input_Data!A295</f>
        <v/>
      </c>
      <c r="B295">
        <f>Input_Data!B295</f>
        <v/>
      </c>
      <c r="C295">
        <f>Input_Data!C295</f>
        <v/>
      </c>
      <c r="D295">
        <f>IF(A295="","",SUM(Input_Data!D295:I295))</f>
        <v/>
      </c>
      <c r="E295">
        <f>IF(D295="","",D295/6)</f>
        <v/>
      </c>
      <c r="F295" s="2">
        <f>IF(D295="","",IF(COUNTA($D$2:$D$300)&lt;=1,0,PERCENTRANK.INC($D$2:$D$300,D295)))</f>
        <v/>
      </c>
      <c r="G295" s="2">
        <f>Input_Data!J295</f>
        <v/>
      </c>
      <c r="H295" s="2">
        <f>IF(G295="","",IF(COUNTA($G$2:$G$300)&lt;=1,0,PERCENTRANK.INC($G$2:$G$300,G295)))</f>
        <v/>
      </c>
      <c r="I295" s="2">
        <f>IF(F295="","",1-F295)</f>
        <v/>
      </c>
      <c r="J295" s="2">
        <f>IF(A295="","",0.6*I295+0.4*H295)</f>
        <v/>
      </c>
      <c r="K295">
        <f>IF(F295="","",IF(F295&lt;=0.33,"Low Movement",IF(F295&lt;=0.66,"Medium Movement","High Movement")))</f>
        <v/>
      </c>
      <c r="L295">
        <f>IF(J295="","",IF(J295&gt;=0.67,"High Value Bundle",IF(J295&gt;=0.34,"Medium Value Bundle","Low Value Bundle")))</f>
        <v/>
      </c>
      <c r="M295">
        <f>IF(A295="","",IF(AND(F295&gt;=0.66,H295&gt;=0.66),"Yes","No"))</f>
        <v/>
      </c>
      <c r="N295">
        <f>IF(A295="","",IF(K295="Low Movement","Yes","No"))</f>
        <v/>
      </c>
      <c r="O295" s="2">
        <f>IF(L295="","",IF(L295="High Value Bundle",0.10,IF(L295="Medium Value Bundle",0.15,0.20)))</f>
        <v/>
      </c>
      <c r="P295">
        <f>IF(M295="Yes",C295&amp;"|anchor","")</f>
        <v/>
      </c>
      <c r="Q295">
        <f>IF(M295="Yes",B295,"")</f>
        <v/>
      </c>
    </row>
    <row r="296">
      <c r="A296">
        <f>Input_Data!A296</f>
        <v/>
      </c>
      <c r="B296">
        <f>Input_Data!B296</f>
        <v/>
      </c>
      <c r="C296">
        <f>Input_Data!C296</f>
        <v/>
      </c>
      <c r="D296">
        <f>IF(A296="","",SUM(Input_Data!D296:I296))</f>
        <v/>
      </c>
      <c r="E296">
        <f>IF(D296="","",D296/6)</f>
        <v/>
      </c>
      <c r="F296" s="2">
        <f>IF(D296="","",IF(COUNTA($D$2:$D$300)&lt;=1,0,PERCENTRANK.INC($D$2:$D$300,D296)))</f>
        <v/>
      </c>
      <c r="G296" s="2">
        <f>Input_Data!J296</f>
        <v/>
      </c>
      <c r="H296" s="2">
        <f>IF(G296="","",IF(COUNTA($G$2:$G$300)&lt;=1,0,PERCENTRANK.INC($G$2:$G$300,G296)))</f>
        <v/>
      </c>
      <c r="I296" s="2">
        <f>IF(F296="","",1-F296)</f>
        <v/>
      </c>
      <c r="J296" s="2">
        <f>IF(A296="","",0.6*I296+0.4*H296)</f>
        <v/>
      </c>
      <c r="K296">
        <f>IF(F296="","",IF(F296&lt;=0.33,"Low Movement",IF(F296&lt;=0.66,"Medium Movement","High Movement")))</f>
        <v/>
      </c>
      <c r="L296">
        <f>IF(J296="","",IF(J296&gt;=0.67,"High Value Bundle",IF(J296&gt;=0.34,"Medium Value Bundle","Low Value Bundle")))</f>
        <v/>
      </c>
      <c r="M296">
        <f>IF(A296="","",IF(AND(F296&gt;=0.66,H296&gt;=0.66),"Yes","No"))</f>
        <v/>
      </c>
      <c r="N296">
        <f>IF(A296="","",IF(K296="Low Movement","Yes","No"))</f>
        <v/>
      </c>
      <c r="O296" s="2">
        <f>IF(L296="","",IF(L296="High Value Bundle",0.10,IF(L296="Medium Value Bundle",0.15,0.20)))</f>
        <v/>
      </c>
      <c r="P296">
        <f>IF(M296="Yes",C296&amp;"|anchor","")</f>
        <v/>
      </c>
      <c r="Q296">
        <f>IF(M296="Yes",B296,"")</f>
        <v/>
      </c>
    </row>
    <row r="297">
      <c r="A297">
        <f>Input_Data!A297</f>
        <v/>
      </c>
      <c r="B297">
        <f>Input_Data!B297</f>
        <v/>
      </c>
      <c r="C297">
        <f>Input_Data!C297</f>
        <v/>
      </c>
      <c r="D297">
        <f>IF(A297="","",SUM(Input_Data!D297:I297))</f>
        <v/>
      </c>
      <c r="E297">
        <f>IF(D297="","",D297/6)</f>
        <v/>
      </c>
      <c r="F297" s="2">
        <f>IF(D297="","",IF(COUNTA($D$2:$D$300)&lt;=1,0,PERCENTRANK.INC($D$2:$D$300,D297)))</f>
        <v/>
      </c>
      <c r="G297" s="2">
        <f>Input_Data!J297</f>
        <v/>
      </c>
      <c r="H297" s="2">
        <f>IF(G297="","",IF(COUNTA($G$2:$G$300)&lt;=1,0,PERCENTRANK.INC($G$2:$G$300,G297)))</f>
        <v/>
      </c>
      <c r="I297" s="2">
        <f>IF(F297="","",1-F297)</f>
        <v/>
      </c>
      <c r="J297" s="2">
        <f>IF(A297="","",0.6*I297+0.4*H297)</f>
        <v/>
      </c>
      <c r="K297">
        <f>IF(F297="","",IF(F297&lt;=0.33,"Low Movement",IF(F297&lt;=0.66,"Medium Movement","High Movement")))</f>
        <v/>
      </c>
      <c r="L297">
        <f>IF(J297="","",IF(J297&gt;=0.67,"High Value Bundle",IF(J297&gt;=0.34,"Medium Value Bundle","Low Value Bundle")))</f>
        <v/>
      </c>
      <c r="M297">
        <f>IF(A297="","",IF(AND(F297&gt;=0.66,H297&gt;=0.66),"Yes","No"))</f>
        <v/>
      </c>
      <c r="N297">
        <f>IF(A297="","",IF(K297="Low Movement","Yes","No"))</f>
        <v/>
      </c>
      <c r="O297" s="2">
        <f>IF(L297="","",IF(L297="High Value Bundle",0.10,IF(L297="Medium Value Bundle",0.15,0.20)))</f>
        <v/>
      </c>
      <c r="P297">
        <f>IF(M297="Yes",C297&amp;"|anchor","")</f>
        <v/>
      </c>
      <c r="Q297">
        <f>IF(M297="Yes",B297,"")</f>
        <v/>
      </c>
    </row>
    <row r="298">
      <c r="A298">
        <f>Input_Data!A298</f>
        <v/>
      </c>
      <c r="B298">
        <f>Input_Data!B298</f>
        <v/>
      </c>
      <c r="C298">
        <f>Input_Data!C298</f>
        <v/>
      </c>
      <c r="D298">
        <f>IF(A298="","",SUM(Input_Data!D298:I298))</f>
        <v/>
      </c>
      <c r="E298">
        <f>IF(D298="","",D298/6)</f>
        <v/>
      </c>
      <c r="F298" s="2">
        <f>IF(D298="","",IF(COUNTA($D$2:$D$300)&lt;=1,0,PERCENTRANK.INC($D$2:$D$300,D298)))</f>
        <v/>
      </c>
      <c r="G298" s="2">
        <f>Input_Data!J298</f>
        <v/>
      </c>
      <c r="H298" s="2">
        <f>IF(G298="","",IF(COUNTA($G$2:$G$300)&lt;=1,0,PERCENTRANK.INC($G$2:$G$300,G298)))</f>
        <v/>
      </c>
      <c r="I298" s="2">
        <f>IF(F298="","",1-F298)</f>
        <v/>
      </c>
      <c r="J298" s="2">
        <f>IF(A298="","",0.6*I298+0.4*H298)</f>
        <v/>
      </c>
      <c r="K298">
        <f>IF(F298="","",IF(F298&lt;=0.33,"Low Movement",IF(F298&lt;=0.66,"Medium Movement","High Movement")))</f>
        <v/>
      </c>
      <c r="L298">
        <f>IF(J298="","",IF(J298&gt;=0.67,"High Value Bundle",IF(J298&gt;=0.34,"Medium Value Bundle","Low Value Bundle")))</f>
        <v/>
      </c>
      <c r="M298">
        <f>IF(A298="","",IF(AND(F298&gt;=0.66,H298&gt;=0.66),"Yes","No"))</f>
        <v/>
      </c>
      <c r="N298">
        <f>IF(A298="","",IF(K298="Low Movement","Yes","No"))</f>
        <v/>
      </c>
      <c r="O298" s="2">
        <f>IF(L298="","",IF(L298="High Value Bundle",0.10,IF(L298="Medium Value Bundle",0.15,0.20)))</f>
        <v/>
      </c>
      <c r="P298">
        <f>IF(M298="Yes",C298&amp;"|anchor","")</f>
        <v/>
      </c>
      <c r="Q298">
        <f>IF(M298="Yes",B298,"")</f>
        <v/>
      </c>
    </row>
    <row r="299">
      <c r="A299">
        <f>Input_Data!A299</f>
        <v/>
      </c>
      <c r="B299">
        <f>Input_Data!B299</f>
        <v/>
      </c>
      <c r="C299">
        <f>Input_Data!C299</f>
        <v/>
      </c>
      <c r="D299">
        <f>IF(A299="","",SUM(Input_Data!D299:I299))</f>
        <v/>
      </c>
      <c r="E299">
        <f>IF(D299="","",D299/6)</f>
        <v/>
      </c>
      <c r="F299" s="2">
        <f>IF(D299="","",IF(COUNTA($D$2:$D$300)&lt;=1,0,PERCENTRANK.INC($D$2:$D$300,D299)))</f>
        <v/>
      </c>
      <c r="G299" s="2">
        <f>Input_Data!J299</f>
        <v/>
      </c>
      <c r="H299" s="2">
        <f>IF(G299="","",IF(COUNTA($G$2:$G$300)&lt;=1,0,PERCENTRANK.INC($G$2:$G$300,G299)))</f>
        <v/>
      </c>
      <c r="I299" s="2">
        <f>IF(F299="","",1-F299)</f>
        <v/>
      </c>
      <c r="J299" s="2">
        <f>IF(A299="","",0.6*I299+0.4*H299)</f>
        <v/>
      </c>
      <c r="K299">
        <f>IF(F299="","",IF(F299&lt;=0.33,"Low Movement",IF(F299&lt;=0.66,"Medium Movement","High Movement")))</f>
        <v/>
      </c>
      <c r="L299">
        <f>IF(J299="","",IF(J299&gt;=0.67,"High Value Bundle",IF(J299&gt;=0.34,"Medium Value Bundle","Low Value Bundle")))</f>
        <v/>
      </c>
      <c r="M299">
        <f>IF(A299="","",IF(AND(F299&gt;=0.66,H299&gt;=0.66),"Yes","No"))</f>
        <v/>
      </c>
      <c r="N299">
        <f>IF(A299="","",IF(K299="Low Movement","Yes","No"))</f>
        <v/>
      </c>
      <c r="O299" s="2">
        <f>IF(L299="","",IF(L299="High Value Bundle",0.10,IF(L299="Medium Value Bundle",0.15,0.20)))</f>
        <v/>
      </c>
      <c r="P299">
        <f>IF(M299="Yes",C299&amp;"|anchor","")</f>
        <v/>
      </c>
      <c r="Q299">
        <f>IF(M299="Yes",B299,"")</f>
        <v/>
      </c>
    </row>
    <row r="300">
      <c r="A300">
        <f>Input_Data!A300</f>
        <v/>
      </c>
      <c r="B300">
        <f>Input_Data!B300</f>
        <v/>
      </c>
      <c r="C300">
        <f>Input_Data!C300</f>
        <v/>
      </c>
      <c r="D300">
        <f>IF(A300="","",SUM(Input_Data!D300:I300))</f>
        <v/>
      </c>
      <c r="E300">
        <f>IF(D300="","",D300/6)</f>
        <v/>
      </c>
      <c r="F300" s="2">
        <f>IF(D300="","",IF(COUNTA($D$2:$D$300)&lt;=1,0,PERCENTRANK.INC($D$2:$D$300,D300)))</f>
        <v/>
      </c>
      <c r="G300" s="2">
        <f>Input_Data!J300</f>
        <v/>
      </c>
      <c r="H300" s="2">
        <f>IF(G300="","",IF(COUNTA($G$2:$G$300)&lt;=1,0,PERCENTRANK.INC($G$2:$G$300,G300)))</f>
        <v/>
      </c>
      <c r="I300" s="2">
        <f>IF(F300="","",1-F300)</f>
        <v/>
      </c>
      <c r="J300" s="2">
        <f>IF(A300="","",0.6*I300+0.4*H300)</f>
        <v/>
      </c>
      <c r="K300">
        <f>IF(F300="","",IF(F300&lt;=0.33,"Low Movement",IF(F300&lt;=0.66,"Medium Movement","High Movement")))</f>
        <v/>
      </c>
      <c r="L300">
        <f>IF(J300="","",IF(J300&gt;=0.67,"High Value Bundle",IF(J300&gt;=0.34,"Medium Value Bundle","Low Value Bundle")))</f>
        <v/>
      </c>
      <c r="M300">
        <f>IF(A300="","",IF(AND(F300&gt;=0.66,H300&gt;=0.66),"Yes","No"))</f>
        <v/>
      </c>
      <c r="N300">
        <f>IF(A300="","",IF(K300="Low Movement","Yes","No"))</f>
        <v/>
      </c>
      <c r="O300" s="2">
        <f>IF(L300="","",IF(L300="High Value Bundle",0.10,IF(L300="Medium Value Bundle",0.15,0.20)))</f>
        <v/>
      </c>
      <c r="P300">
        <f>IF(M300="Yes",C300&amp;"|anchor","")</f>
        <v/>
      </c>
      <c r="Q300">
        <f>IF(M300="Yes",B300,"")</f>
        <v/>
      </c>
    </row>
  </sheetData>
  <conditionalFormatting sqref="L2:L300">
    <cfRule type="expression" priority="1" dxfId="0">
      <formula>$L2="High Value Bundle"</formula>
    </cfRule>
    <cfRule type="expression" priority="2" dxfId="1">
      <formula>$L2="Medium Value Bundle"</formula>
    </cfRule>
    <cfRule type="expression" priority="3" dxfId="2">
      <formula>$L2="Low Value Bundle"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8" customWidth="1" min="4" max="4"/>
    <col width="20" customWidth="1" min="5" max="5"/>
    <col width="14" customWidth="1" min="6" max="6"/>
    <col width="30" customWidth="1" min="7" max="7"/>
    <col width="18" customWidth="1" min="8" max="8"/>
    <col width="55" customWidth="1" min="9" max="9"/>
  </cols>
  <sheetData>
    <row r="1">
      <c r="A1" s="1" t="inlineStr">
        <is>
          <t>Product_ID</t>
        </is>
      </c>
      <c r="B1" s="1" t="inlineStr">
        <is>
          <t>Candidate_Product</t>
        </is>
      </c>
      <c r="C1" s="1" t="inlineStr">
        <is>
          <t>Category</t>
        </is>
      </c>
      <c r="D1" s="1" t="inlineStr">
        <is>
          <t>Movement_Band</t>
        </is>
      </c>
      <c r="E1" s="1" t="inlineStr">
        <is>
          <t>Bundle_Value_Cluster</t>
        </is>
      </c>
      <c r="F1" s="1" t="inlineStr">
        <is>
          <t>Priority_Score</t>
        </is>
      </c>
      <c r="G1" s="1" t="inlineStr">
        <is>
          <t>Recommended_Anchor_Product</t>
        </is>
      </c>
      <c r="H1" s="1" t="inlineStr">
        <is>
          <t>Suggested_Discount_%</t>
        </is>
      </c>
      <c r="I1" s="1" t="inlineStr">
        <is>
          <t>Action_Note</t>
        </is>
      </c>
    </row>
    <row r="2">
      <c r="A2">
        <f>Scoring_Model!A2</f>
        <v/>
      </c>
      <c r="B2">
        <f>Scoring_Model!B2</f>
        <v/>
      </c>
      <c r="C2">
        <f>Scoring_Model!C2</f>
        <v/>
      </c>
      <c r="D2">
        <f>Scoring_Model!K2</f>
        <v/>
      </c>
      <c r="E2">
        <f>Scoring_Model!L2</f>
        <v/>
      </c>
      <c r="F2" s="2">
        <f>Scoring_Model!J2</f>
        <v/>
      </c>
      <c r="G2">
        <f>IF(D2&lt;&gt;"Low Movement","",IFERROR(XLOOKUP(C2&amp;"|anchor",Scoring_Model!$P$2:$P$300,Scoring_Model!$Q$2:$Q$300,INDEX(Scoring_Model!$Q$2:$Q$300,MATCH("Yes",Scoring_Model!$M$2:$M$300,0))),"No anchor found"))</f>
        <v/>
      </c>
      <c r="H2" s="2">
        <f>Scoring_Model!O2</f>
        <v/>
      </c>
      <c r="I2">
        <f>IF(A2="","",IF(D2&lt;&gt;"Low Movement","Stable mover - bundle optional","Pair this low-movement item with the suggested anchor"))</f>
        <v/>
      </c>
    </row>
    <row r="3">
      <c r="A3">
        <f>Scoring_Model!A3</f>
        <v/>
      </c>
      <c r="B3">
        <f>Scoring_Model!B3</f>
        <v/>
      </c>
      <c r="C3">
        <f>Scoring_Model!C3</f>
        <v/>
      </c>
      <c r="D3">
        <f>Scoring_Model!K3</f>
        <v/>
      </c>
      <c r="E3">
        <f>Scoring_Model!L3</f>
        <v/>
      </c>
      <c r="F3" s="2">
        <f>Scoring_Model!J3</f>
        <v/>
      </c>
      <c r="G3">
        <f>IF(D3&lt;&gt;"Low Movement","",IFERROR(XLOOKUP(C3&amp;"|anchor",Scoring_Model!$P$2:$P$300,Scoring_Model!$Q$2:$Q$300,INDEX(Scoring_Model!$Q$2:$Q$300,MATCH("Yes",Scoring_Model!$M$2:$M$300,0))),"No anchor found"))</f>
        <v/>
      </c>
      <c r="H3" s="2">
        <f>Scoring_Model!O3</f>
        <v/>
      </c>
      <c r="I3">
        <f>IF(A3="","",IF(D3&lt;&gt;"Low Movement","Stable mover - bundle optional","Pair this low-movement item with the suggested anchor"))</f>
        <v/>
      </c>
    </row>
    <row r="4">
      <c r="A4">
        <f>Scoring_Model!A4</f>
        <v/>
      </c>
      <c r="B4">
        <f>Scoring_Model!B4</f>
        <v/>
      </c>
      <c r="C4">
        <f>Scoring_Model!C4</f>
        <v/>
      </c>
      <c r="D4">
        <f>Scoring_Model!K4</f>
        <v/>
      </c>
      <c r="E4">
        <f>Scoring_Model!L4</f>
        <v/>
      </c>
      <c r="F4" s="2">
        <f>Scoring_Model!J4</f>
        <v/>
      </c>
      <c r="G4">
        <f>IF(D4&lt;&gt;"Low Movement","",IFERROR(XLOOKUP(C4&amp;"|anchor",Scoring_Model!$P$2:$P$300,Scoring_Model!$Q$2:$Q$300,INDEX(Scoring_Model!$Q$2:$Q$300,MATCH("Yes",Scoring_Model!$M$2:$M$300,0))),"No anchor found"))</f>
        <v/>
      </c>
      <c r="H4" s="2">
        <f>Scoring_Model!O4</f>
        <v/>
      </c>
      <c r="I4">
        <f>IF(A4="","",IF(D4&lt;&gt;"Low Movement","Stable mover - bundle optional","Pair this low-movement item with the suggested anchor"))</f>
        <v/>
      </c>
    </row>
    <row r="5">
      <c r="A5">
        <f>Scoring_Model!A5</f>
        <v/>
      </c>
      <c r="B5">
        <f>Scoring_Model!B5</f>
        <v/>
      </c>
      <c r="C5">
        <f>Scoring_Model!C5</f>
        <v/>
      </c>
      <c r="D5">
        <f>Scoring_Model!K5</f>
        <v/>
      </c>
      <c r="E5">
        <f>Scoring_Model!L5</f>
        <v/>
      </c>
      <c r="F5" s="2">
        <f>Scoring_Model!J5</f>
        <v/>
      </c>
      <c r="G5">
        <f>IF(D5&lt;&gt;"Low Movement","",IFERROR(XLOOKUP(C5&amp;"|anchor",Scoring_Model!$P$2:$P$300,Scoring_Model!$Q$2:$Q$300,INDEX(Scoring_Model!$Q$2:$Q$300,MATCH("Yes",Scoring_Model!$M$2:$M$300,0))),"No anchor found"))</f>
        <v/>
      </c>
      <c r="H5" s="2">
        <f>Scoring_Model!O5</f>
        <v/>
      </c>
      <c r="I5">
        <f>IF(A5="","",IF(D5&lt;&gt;"Low Movement","Stable mover - bundle optional","Pair this low-movement item with the suggested anchor"))</f>
        <v/>
      </c>
    </row>
    <row r="6">
      <c r="A6">
        <f>Scoring_Model!A6</f>
        <v/>
      </c>
      <c r="B6">
        <f>Scoring_Model!B6</f>
        <v/>
      </c>
      <c r="C6">
        <f>Scoring_Model!C6</f>
        <v/>
      </c>
      <c r="D6">
        <f>Scoring_Model!K6</f>
        <v/>
      </c>
      <c r="E6">
        <f>Scoring_Model!L6</f>
        <v/>
      </c>
      <c r="F6" s="2">
        <f>Scoring_Model!J6</f>
        <v/>
      </c>
      <c r="G6">
        <f>IF(D6&lt;&gt;"Low Movement","",IFERROR(XLOOKUP(C6&amp;"|anchor",Scoring_Model!$P$2:$P$300,Scoring_Model!$Q$2:$Q$300,INDEX(Scoring_Model!$Q$2:$Q$300,MATCH("Yes",Scoring_Model!$M$2:$M$300,0))),"No anchor found"))</f>
        <v/>
      </c>
      <c r="H6" s="2">
        <f>Scoring_Model!O6</f>
        <v/>
      </c>
      <c r="I6">
        <f>IF(A6="","",IF(D6&lt;&gt;"Low Movement","Stable mover - bundle optional","Pair this low-movement item with the suggested anchor"))</f>
        <v/>
      </c>
    </row>
    <row r="7">
      <c r="A7">
        <f>Scoring_Model!A7</f>
        <v/>
      </c>
      <c r="B7">
        <f>Scoring_Model!B7</f>
        <v/>
      </c>
      <c r="C7">
        <f>Scoring_Model!C7</f>
        <v/>
      </c>
      <c r="D7">
        <f>Scoring_Model!K7</f>
        <v/>
      </c>
      <c r="E7">
        <f>Scoring_Model!L7</f>
        <v/>
      </c>
      <c r="F7" s="2">
        <f>Scoring_Model!J7</f>
        <v/>
      </c>
      <c r="G7">
        <f>IF(D7&lt;&gt;"Low Movement","",IFERROR(XLOOKUP(C7&amp;"|anchor",Scoring_Model!$P$2:$P$300,Scoring_Model!$Q$2:$Q$300,INDEX(Scoring_Model!$Q$2:$Q$300,MATCH("Yes",Scoring_Model!$M$2:$M$300,0))),"No anchor found"))</f>
        <v/>
      </c>
      <c r="H7" s="2">
        <f>Scoring_Model!O7</f>
        <v/>
      </c>
      <c r="I7">
        <f>IF(A7="","",IF(D7&lt;&gt;"Low Movement","Stable mover - bundle optional","Pair this low-movement item with the suggested anchor"))</f>
        <v/>
      </c>
    </row>
    <row r="8">
      <c r="A8">
        <f>Scoring_Model!A8</f>
        <v/>
      </c>
      <c r="B8">
        <f>Scoring_Model!B8</f>
        <v/>
      </c>
      <c r="C8">
        <f>Scoring_Model!C8</f>
        <v/>
      </c>
      <c r="D8">
        <f>Scoring_Model!K8</f>
        <v/>
      </c>
      <c r="E8">
        <f>Scoring_Model!L8</f>
        <v/>
      </c>
      <c r="F8" s="2">
        <f>Scoring_Model!J8</f>
        <v/>
      </c>
      <c r="G8">
        <f>IF(D8&lt;&gt;"Low Movement","",IFERROR(XLOOKUP(C8&amp;"|anchor",Scoring_Model!$P$2:$P$300,Scoring_Model!$Q$2:$Q$300,INDEX(Scoring_Model!$Q$2:$Q$300,MATCH("Yes",Scoring_Model!$M$2:$M$300,0))),"No anchor found"))</f>
        <v/>
      </c>
      <c r="H8" s="2">
        <f>Scoring_Model!O8</f>
        <v/>
      </c>
      <c r="I8">
        <f>IF(A8="","",IF(D8&lt;&gt;"Low Movement","Stable mover - bundle optional","Pair this low-movement item with the suggested anchor"))</f>
        <v/>
      </c>
    </row>
    <row r="9">
      <c r="A9">
        <f>Scoring_Model!A9</f>
        <v/>
      </c>
      <c r="B9">
        <f>Scoring_Model!B9</f>
        <v/>
      </c>
      <c r="C9">
        <f>Scoring_Model!C9</f>
        <v/>
      </c>
      <c r="D9">
        <f>Scoring_Model!K9</f>
        <v/>
      </c>
      <c r="E9">
        <f>Scoring_Model!L9</f>
        <v/>
      </c>
      <c r="F9" s="2">
        <f>Scoring_Model!J9</f>
        <v/>
      </c>
      <c r="G9">
        <f>IF(D9&lt;&gt;"Low Movement","",IFERROR(XLOOKUP(C9&amp;"|anchor",Scoring_Model!$P$2:$P$300,Scoring_Model!$Q$2:$Q$300,INDEX(Scoring_Model!$Q$2:$Q$300,MATCH("Yes",Scoring_Model!$M$2:$M$300,0))),"No anchor found"))</f>
        <v/>
      </c>
      <c r="H9" s="2">
        <f>Scoring_Model!O9</f>
        <v/>
      </c>
      <c r="I9">
        <f>IF(A9="","",IF(D9&lt;&gt;"Low Movement","Stable mover - bundle optional","Pair this low-movement item with the suggested anchor"))</f>
        <v/>
      </c>
    </row>
    <row r="10">
      <c r="A10">
        <f>Scoring_Model!A10</f>
        <v/>
      </c>
      <c r="B10">
        <f>Scoring_Model!B10</f>
        <v/>
      </c>
      <c r="C10">
        <f>Scoring_Model!C10</f>
        <v/>
      </c>
      <c r="D10">
        <f>Scoring_Model!K10</f>
        <v/>
      </c>
      <c r="E10">
        <f>Scoring_Model!L10</f>
        <v/>
      </c>
      <c r="F10" s="2">
        <f>Scoring_Model!J10</f>
        <v/>
      </c>
      <c r="G10">
        <f>IF(D10&lt;&gt;"Low Movement","",IFERROR(XLOOKUP(C10&amp;"|anchor",Scoring_Model!$P$2:$P$300,Scoring_Model!$Q$2:$Q$300,INDEX(Scoring_Model!$Q$2:$Q$300,MATCH("Yes",Scoring_Model!$M$2:$M$300,0))),"No anchor found"))</f>
        <v/>
      </c>
      <c r="H10" s="2">
        <f>Scoring_Model!O10</f>
        <v/>
      </c>
      <c r="I10">
        <f>IF(A10="","",IF(D10&lt;&gt;"Low Movement","Stable mover - bundle optional","Pair this low-movement item with the suggested anchor"))</f>
        <v/>
      </c>
    </row>
    <row r="11">
      <c r="A11">
        <f>Scoring_Model!A11</f>
        <v/>
      </c>
      <c r="B11">
        <f>Scoring_Model!B11</f>
        <v/>
      </c>
      <c r="C11">
        <f>Scoring_Model!C11</f>
        <v/>
      </c>
      <c r="D11">
        <f>Scoring_Model!K11</f>
        <v/>
      </c>
      <c r="E11">
        <f>Scoring_Model!L11</f>
        <v/>
      </c>
      <c r="F11" s="2">
        <f>Scoring_Model!J11</f>
        <v/>
      </c>
      <c r="G11">
        <f>IF(D11&lt;&gt;"Low Movement","",IFERROR(XLOOKUP(C11&amp;"|anchor",Scoring_Model!$P$2:$P$300,Scoring_Model!$Q$2:$Q$300,INDEX(Scoring_Model!$Q$2:$Q$300,MATCH("Yes",Scoring_Model!$M$2:$M$300,0))),"No anchor found"))</f>
        <v/>
      </c>
      <c r="H11" s="2">
        <f>Scoring_Model!O11</f>
        <v/>
      </c>
      <c r="I11">
        <f>IF(A11="","",IF(D11&lt;&gt;"Low Movement","Stable mover - bundle optional","Pair this low-movement item with the suggested anchor"))</f>
        <v/>
      </c>
    </row>
    <row r="12">
      <c r="A12">
        <f>Scoring_Model!A12</f>
        <v/>
      </c>
      <c r="B12">
        <f>Scoring_Model!B12</f>
        <v/>
      </c>
      <c r="C12">
        <f>Scoring_Model!C12</f>
        <v/>
      </c>
      <c r="D12">
        <f>Scoring_Model!K12</f>
        <v/>
      </c>
      <c r="E12">
        <f>Scoring_Model!L12</f>
        <v/>
      </c>
      <c r="F12" s="2">
        <f>Scoring_Model!J12</f>
        <v/>
      </c>
      <c r="G12">
        <f>IF(D12&lt;&gt;"Low Movement","",IFERROR(XLOOKUP(C12&amp;"|anchor",Scoring_Model!$P$2:$P$300,Scoring_Model!$Q$2:$Q$300,INDEX(Scoring_Model!$Q$2:$Q$300,MATCH("Yes",Scoring_Model!$M$2:$M$300,0))),"No anchor found"))</f>
        <v/>
      </c>
      <c r="H12" s="2">
        <f>Scoring_Model!O12</f>
        <v/>
      </c>
      <c r="I12">
        <f>IF(A12="","",IF(D12&lt;&gt;"Low Movement","Stable mover - bundle optional","Pair this low-movement item with the suggested anchor"))</f>
        <v/>
      </c>
    </row>
    <row r="13">
      <c r="A13">
        <f>Scoring_Model!A13</f>
        <v/>
      </c>
      <c r="B13">
        <f>Scoring_Model!B13</f>
        <v/>
      </c>
      <c r="C13">
        <f>Scoring_Model!C13</f>
        <v/>
      </c>
      <c r="D13">
        <f>Scoring_Model!K13</f>
        <v/>
      </c>
      <c r="E13">
        <f>Scoring_Model!L13</f>
        <v/>
      </c>
      <c r="F13" s="2">
        <f>Scoring_Model!J13</f>
        <v/>
      </c>
      <c r="G13">
        <f>IF(D13&lt;&gt;"Low Movement","",IFERROR(XLOOKUP(C13&amp;"|anchor",Scoring_Model!$P$2:$P$300,Scoring_Model!$Q$2:$Q$300,INDEX(Scoring_Model!$Q$2:$Q$300,MATCH("Yes",Scoring_Model!$M$2:$M$300,0))),"No anchor found"))</f>
        <v/>
      </c>
      <c r="H13" s="2">
        <f>Scoring_Model!O13</f>
        <v/>
      </c>
      <c r="I13">
        <f>IF(A13="","",IF(D13&lt;&gt;"Low Movement","Stable mover - bundle optional","Pair this low-movement item with the suggested anchor"))</f>
        <v/>
      </c>
    </row>
    <row r="14">
      <c r="A14">
        <f>Scoring_Model!A14</f>
        <v/>
      </c>
      <c r="B14">
        <f>Scoring_Model!B14</f>
        <v/>
      </c>
      <c r="C14">
        <f>Scoring_Model!C14</f>
        <v/>
      </c>
      <c r="D14">
        <f>Scoring_Model!K14</f>
        <v/>
      </c>
      <c r="E14">
        <f>Scoring_Model!L14</f>
        <v/>
      </c>
      <c r="F14" s="2">
        <f>Scoring_Model!J14</f>
        <v/>
      </c>
      <c r="G14">
        <f>IF(D14&lt;&gt;"Low Movement","",IFERROR(XLOOKUP(C14&amp;"|anchor",Scoring_Model!$P$2:$P$300,Scoring_Model!$Q$2:$Q$300,INDEX(Scoring_Model!$Q$2:$Q$300,MATCH("Yes",Scoring_Model!$M$2:$M$300,0))),"No anchor found"))</f>
        <v/>
      </c>
      <c r="H14" s="2">
        <f>Scoring_Model!O14</f>
        <v/>
      </c>
      <c r="I14">
        <f>IF(A14="","",IF(D14&lt;&gt;"Low Movement","Stable mover - bundle optional","Pair this low-movement item with the suggested anchor"))</f>
        <v/>
      </c>
    </row>
    <row r="15">
      <c r="A15">
        <f>Scoring_Model!A15</f>
        <v/>
      </c>
      <c r="B15">
        <f>Scoring_Model!B15</f>
        <v/>
      </c>
      <c r="C15">
        <f>Scoring_Model!C15</f>
        <v/>
      </c>
      <c r="D15">
        <f>Scoring_Model!K15</f>
        <v/>
      </c>
      <c r="E15">
        <f>Scoring_Model!L15</f>
        <v/>
      </c>
      <c r="F15" s="2">
        <f>Scoring_Model!J15</f>
        <v/>
      </c>
      <c r="G15">
        <f>IF(D15&lt;&gt;"Low Movement","",IFERROR(XLOOKUP(C15&amp;"|anchor",Scoring_Model!$P$2:$P$300,Scoring_Model!$Q$2:$Q$300,INDEX(Scoring_Model!$Q$2:$Q$300,MATCH("Yes",Scoring_Model!$M$2:$M$300,0))),"No anchor found"))</f>
        <v/>
      </c>
      <c r="H15" s="2">
        <f>Scoring_Model!O15</f>
        <v/>
      </c>
      <c r="I15">
        <f>IF(A15="","",IF(D15&lt;&gt;"Low Movement","Stable mover - bundle optional","Pair this low-movement item with the suggested anchor"))</f>
        <v/>
      </c>
    </row>
    <row r="16">
      <c r="A16">
        <f>Scoring_Model!A16</f>
        <v/>
      </c>
      <c r="B16">
        <f>Scoring_Model!B16</f>
        <v/>
      </c>
      <c r="C16">
        <f>Scoring_Model!C16</f>
        <v/>
      </c>
      <c r="D16">
        <f>Scoring_Model!K16</f>
        <v/>
      </c>
      <c r="E16">
        <f>Scoring_Model!L16</f>
        <v/>
      </c>
      <c r="F16" s="2">
        <f>Scoring_Model!J16</f>
        <v/>
      </c>
      <c r="G16">
        <f>IF(D16&lt;&gt;"Low Movement","",IFERROR(XLOOKUP(C16&amp;"|anchor",Scoring_Model!$P$2:$P$300,Scoring_Model!$Q$2:$Q$300,INDEX(Scoring_Model!$Q$2:$Q$300,MATCH("Yes",Scoring_Model!$M$2:$M$300,0))),"No anchor found"))</f>
        <v/>
      </c>
      <c r="H16" s="2">
        <f>Scoring_Model!O16</f>
        <v/>
      </c>
      <c r="I16">
        <f>IF(A16="","",IF(D16&lt;&gt;"Low Movement","Stable mover - bundle optional","Pair this low-movement item with the suggested anchor"))</f>
        <v/>
      </c>
    </row>
    <row r="17">
      <c r="A17">
        <f>Scoring_Model!A17</f>
        <v/>
      </c>
      <c r="B17">
        <f>Scoring_Model!B17</f>
        <v/>
      </c>
      <c r="C17">
        <f>Scoring_Model!C17</f>
        <v/>
      </c>
      <c r="D17">
        <f>Scoring_Model!K17</f>
        <v/>
      </c>
      <c r="E17">
        <f>Scoring_Model!L17</f>
        <v/>
      </c>
      <c r="F17" s="2">
        <f>Scoring_Model!J17</f>
        <v/>
      </c>
      <c r="G17">
        <f>IF(D17&lt;&gt;"Low Movement","",IFERROR(XLOOKUP(C17&amp;"|anchor",Scoring_Model!$P$2:$P$300,Scoring_Model!$Q$2:$Q$300,INDEX(Scoring_Model!$Q$2:$Q$300,MATCH("Yes",Scoring_Model!$M$2:$M$300,0))),"No anchor found"))</f>
        <v/>
      </c>
      <c r="H17" s="2">
        <f>Scoring_Model!O17</f>
        <v/>
      </c>
      <c r="I17">
        <f>IF(A17="","",IF(D17&lt;&gt;"Low Movement","Stable mover - bundle optional","Pair this low-movement item with the suggested anchor"))</f>
        <v/>
      </c>
    </row>
    <row r="18">
      <c r="A18">
        <f>Scoring_Model!A18</f>
        <v/>
      </c>
      <c r="B18">
        <f>Scoring_Model!B18</f>
        <v/>
      </c>
      <c r="C18">
        <f>Scoring_Model!C18</f>
        <v/>
      </c>
      <c r="D18">
        <f>Scoring_Model!K18</f>
        <v/>
      </c>
      <c r="E18">
        <f>Scoring_Model!L18</f>
        <v/>
      </c>
      <c r="F18" s="2">
        <f>Scoring_Model!J18</f>
        <v/>
      </c>
      <c r="G18">
        <f>IF(D18&lt;&gt;"Low Movement","",IFERROR(XLOOKUP(C18&amp;"|anchor",Scoring_Model!$P$2:$P$300,Scoring_Model!$Q$2:$Q$300,INDEX(Scoring_Model!$Q$2:$Q$300,MATCH("Yes",Scoring_Model!$M$2:$M$300,0))),"No anchor found"))</f>
        <v/>
      </c>
      <c r="H18" s="2">
        <f>Scoring_Model!O18</f>
        <v/>
      </c>
      <c r="I18">
        <f>IF(A18="","",IF(D18&lt;&gt;"Low Movement","Stable mover - bundle optional","Pair this low-movement item with the suggested anchor"))</f>
        <v/>
      </c>
    </row>
    <row r="19">
      <c r="A19">
        <f>Scoring_Model!A19</f>
        <v/>
      </c>
      <c r="B19">
        <f>Scoring_Model!B19</f>
        <v/>
      </c>
      <c r="C19">
        <f>Scoring_Model!C19</f>
        <v/>
      </c>
      <c r="D19">
        <f>Scoring_Model!K19</f>
        <v/>
      </c>
      <c r="E19">
        <f>Scoring_Model!L19</f>
        <v/>
      </c>
      <c r="F19" s="2">
        <f>Scoring_Model!J19</f>
        <v/>
      </c>
      <c r="G19">
        <f>IF(D19&lt;&gt;"Low Movement","",IFERROR(XLOOKUP(C19&amp;"|anchor",Scoring_Model!$P$2:$P$300,Scoring_Model!$Q$2:$Q$300,INDEX(Scoring_Model!$Q$2:$Q$300,MATCH("Yes",Scoring_Model!$M$2:$M$300,0))),"No anchor found"))</f>
        <v/>
      </c>
      <c r="H19" s="2">
        <f>Scoring_Model!O19</f>
        <v/>
      </c>
      <c r="I19">
        <f>IF(A19="","",IF(D19&lt;&gt;"Low Movement","Stable mover - bundle optional","Pair this low-movement item with the suggested anchor"))</f>
        <v/>
      </c>
    </row>
    <row r="20">
      <c r="A20">
        <f>Scoring_Model!A20</f>
        <v/>
      </c>
      <c r="B20">
        <f>Scoring_Model!B20</f>
        <v/>
      </c>
      <c r="C20">
        <f>Scoring_Model!C20</f>
        <v/>
      </c>
      <c r="D20">
        <f>Scoring_Model!K20</f>
        <v/>
      </c>
      <c r="E20">
        <f>Scoring_Model!L20</f>
        <v/>
      </c>
      <c r="F20" s="2">
        <f>Scoring_Model!J20</f>
        <v/>
      </c>
      <c r="G20">
        <f>IF(D20&lt;&gt;"Low Movement","",IFERROR(XLOOKUP(C20&amp;"|anchor",Scoring_Model!$P$2:$P$300,Scoring_Model!$Q$2:$Q$300,INDEX(Scoring_Model!$Q$2:$Q$300,MATCH("Yes",Scoring_Model!$M$2:$M$300,0))),"No anchor found"))</f>
        <v/>
      </c>
      <c r="H20" s="2">
        <f>Scoring_Model!O20</f>
        <v/>
      </c>
      <c r="I20">
        <f>IF(A20="","",IF(D20&lt;&gt;"Low Movement","Stable mover - bundle optional","Pair this low-movement item with the suggested anchor"))</f>
        <v/>
      </c>
    </row>
    <row r="21">
      <c r="A21">
        <f>Scoring_Model!A21</f>
        <v/>
      </c>
      <c r="B21">
        <f>Scoring_Model!B21</f>
        <v/>
      </c>
      <c r="C21">
        <f>Scoring_Model!C21</f>
        <v/>
      </c>
      <c r="D21">
        <f>Scoring_Model!K21</f>
        <v/>
      </c>
      <c r="E21">
        <f>Scoring_Model!L21</f>
        <v/>
      </c>
      <c r="F21" s="2">
        <f>Scoring_Model!J21</f>
        <v/>
      </c>
      <c r="G21">
        <f>IF(D21&lt;&gt;"Low Movement","",IFERROR(XLOOKUP(C21&amp;"|anchor",Scoring_Model!$P$2:$P$300,Scoring_Model!$Q$2:$Q$300,INDEX(Scoring_Model!$Q$2:$Q$300,MATCH("Yes",Scoring_Model!$M$2:$M$300,0))),"No anchor found"))</f>
        <v/>
      </c>
      <c r="H21" s="2">
        <f>Scoring_Model!O21</f>
        <v/>
      </c>
      <c r="I21">
        <f>IF(A21="","",IF(D21&lt;&gt;"Low Movement","Stable mover - bundle optional","Pair this low-movement item with the suggested anchor"))</f>
        <v/>
      </c>
    </row>
    <row r="22">
      <c r="A22">
        <f>Scoring_Model!A22</f>
        <v/>
      </c>
      <c r="B22">
        <f>Scoring_Model!B22</f>
        <v/>
      </c>
      <c r="C22">
        <f>Scoring_Model!C22</f>
        <v/>
      </c>
      <c r="D22">
        <f>Scoring_Model!K22</f>
        <v/>
      </c>
      <c r="E22">
        <f>Scoring_Model!L22</f>
        <v/>
      </c>
      <c r="F22" s="2">
        <f>Scoring_Model!J22</f>
        <v/>
      </c>
      <c r="G22">
        <f>IF(D22&lt;&gt;"Low Movement","",IFERROR(XLOOKUP(C22&amp;"|anchor",Scoring_Model!$P$2:$P$300,Scoring_Model!$Q$2:$Q$300,INDEX(Scoring_Model!$Q$2:$Q$300,MATCH("Yes",Scoring_Model!$M$2:$M$300,0))),"No anchor found"))</f>
        <v/>
      </c>
      <c r="H22" s="2">
        <f>Scoring_Model!O22</f>
        <v/>
      </c>
      <c r="I22">
        <f>IF(A22="","",IF(D22&lt;&gt;"Low Movement","Stable mover - bundle optional","Pair this low-movement item with the suggested anchor"))</f>
        <v/>
      </c>
    </row>
    <row r="23">
      <c r="A23">
        <f>Scoring_Model!A23</f>
        <v/>
      </c>
      <c r="B23">
        <f>Scoring_Model!B23</f>
        <v/>
      </c>
      <c r="C23">
        <f>Scoring_Model!C23</f>
        <v/>
      </c>
      <c r="D23">
        <f>Scoring_Model!K23</f>
        <v/>
      </c>
      <c r="E23">
        <f>Scoring_Model!L23</f>
        <v/>
      </c>
      <c r="F23" s="2">
        <f>Scoring_Model!J23</f>
        <v/>
      </c>
      <c r="G23">
        <f>IF(D23&lt;&gt;"Low Movement","",IFERROR(XLOOKUP(C23&amp;"|anchor",Scoring_Model!$P$2:$P$300,Scoring_Model!$Q$2:$Q$300,INDEX(Scoring_Model!$Q$2:$Q$300,MATCH("Yes",Scoring_Model!$M$2:$M$300,0))),"No anchor found"))</f>
        <v/>
      </c>
      <c r="H23" s="2">
        <f>Scoring_Model!O23</f>
        <v/>
      </c>
      <c r="I23">
        <f>IF(A23="","",IF(D23&lt;&gt;"Low Movement","Stable mover - bundle optional","Pair this low-movement item with the suggested anchor"))</f>
        <v/>
      </c>
    </row>
    <row r="24">
      <c r="A24">
        <f>Scoring_Model!A24</f>
        <v/>
      </c>
      <c r="B24">
        <f>Scoring_Model!B24</f>
        <v/>
      </c>
      <c r="C24">
        <f>Scoring_Model!C24</f>
        <v/>
      </c>
      <c r="D24">
        <f>Scoring_Model!K24</f>
        <v/>
      </c>
      <c r="E24">
        <f>Scoring_Model!L24</f>
        <v/>
      </c>
      <c r="F24" s="2">
        <f>Scoring_Model!J24</f>
        <v/>
      </c>
      <c r="G24">
        <f>IF(D24&lt;&gt;"Low Movement","",IFERROR(XLOOKUP(C24&amp;"|anchor",Scoring_Model!$P$2:$P$300,Scoring_Model!$Q$2:$Q$300,INDEX(Scoring_Model!$Q$2:$Q$300,MATCH("Yes",Scoring_Model!$M$2:$M$300,0))),"No anchor found"))</f>
        <v/>
      </c>
      <c r="H24" s="2">
        <f>Scoring_Model!O24</f>
        <v/>
      </c>
      <c r="I24">
        <f>IF(A24="","",IF(D24&lt;&gt;"Low Movement","Stable mover - bundle optional","Pair this low-movement item with the suggested anchor"))</f>
        <v/>
      </c>
    </row>
    <row r="25">
      <c r="A25">
        <f>Scoring_Model!A25</f>
        <v/>
      </c>
      <c r="B25">
        <f>Scoring_Model!B25</f>
        <v/>
      </c>
      <c r="C25">
        <f>Scoring_Model!C25</f>
        <v/>
      </c>
      <c r="D25">
        <f>Scoring_Model!K25</f>
        <v/>
      </c>
      <c r="E25">
        <f>Scoring_Model!L25</f>
        <v/>
      </c>
      <c r="F25" s="2">
        <f>Scoring_Model!J25</f>
        <v/>
      </c>
      <c r="G25">
        <f>IF(D25&lt;&gt;"Low Movement","",IFERROR(XLOOKUP(C25&amp;"|anchor",Scoring_Model!$P$2:$P$300,Scoring_Model!$Q$2:$Q$300,INDEX(Scoring_Model!$Q$2:$Q$300,MATCH("Yes",Scoring_Model!$M$2:$M$300,0))),"No anchor found"))</f>
        <v/>
      </c>
      <c r="H25" s="2">
        <f>Scoring_Model!O25</f>
        <v/>
      </c>
      <c r="I25">
        <f>IF(A25="","",IF(D25&lt;&gt;"Low Movement","Stable mover - bundle optional","Pair this low-movement item with the suggested anchor"))</f>
        <v/>
      </c>
    </row>
    <row r="26">
      <c r="A26">
        <f>Scoring_Model!A26</f>
        <v/>
      </c>
      <c r="B26">
        <f>Scoring_Model!B26</f>
        <v/>
      </c>
      <c r="C26">
        <f>Scoring_Model!C26</f>
        <v/>
      </c>
      <c r="D26">
        <f>Scoring_Model!K26</f>
        <v/>
      </c>
      <c r="E26">
        <f>Scoring_Model!L26</f>
        <v/>
      </c>
      <c r="F26" s="2">
        <f>Scoring_Model!J26</f>
        <v/>
      </c>
      <c r="G26">
        <f>IF(D26&lt;&gt;"Low Movement","",IFERROR(XLOOKUP(C26&amp;"|anchor",Scoring_Model!$P$2:$P$300,Scoring_Model!$Q$2:$Q$300,INDEX(Scoring_Model!$Q$2:$Q$300,MATCH("Yes",Scoring_Model!$M$2:$M$300,0))),"No anchor found"))</f>
        <v/>
      </c>
      <c r="H26" s="2">
        <f>Scoring_Model!O26</f>
        <v/>
      </c>
      <c r="I26">
        <f>IF(A26="","",IF(D26&lt;&gt;"Low Movement","Stable mover - bundle optional","Pair this low-movement item with the suggested anchor"))</f>
        <v/>
      </c>
    </row>
    <row r="27">
      <c r="A27">
        <f>Scoring_Model!A27</f>
        <v/>
      </c>
      <c r="B27">
        <f>Scoring_Model!B27</f>
        <v/>
      </c>
      <c r="C27">
        <f>Scoring_Model!C27</f>
        <v/>
      </c>
      <c r="D27">
        <f>Scoring_Model!K27</f>
        <v/>
      </c>
      <c r="E27">
        <f>Scoring_Model!L27</f>
        <v/>
      </c>
      <c r="F27" s="2">
        <f>Scoring_Model!J27</f>
        <v/>
      </c>
      <c r="G27">
        <f>IF(D27&lt;&gt;"Low Movement","",IFERROR(XLOOKUP(C27&amp;"|anchor",Scoring_Model!$P$2:$P$300,Scoring_Model!$Q$2:$Q$300,INDEX(Scoring_Model!$Q$2:$Q$300,MATCH("Yes",Scoring_Model!$M$2:$M$300,0))),"No anchor found"))</f>
        <v/>
      </c>
      <c r="H27" s="2">
        <f>Scoring_Model!O27</f>
        <v/>
      </c>
      <c r="I27">
        <f>IF(A27="","",IF(D27&lt;&gt;"Low Movement","Stable mover - bundle optional","Pair this low-movement item with the suggested anchor"))</f>
        <v/>
      </c>
    </row>
    <row r="28">
      <c r="A28">
        <f>Scoring_Model!A28</f>
        <v/>
      </c>
      <c r="B28">
        <f>Scoring_Model!B28</f>
        <v/>
      </c>
      <c r="C28">
        <f>Scoring_Model!C28</f>
        <v/>
      </c>
      <c r="D28">
        <f>Scoring_Model!K28</f>
        <v/>
      </c>
      <c r="E28">
        <f>Scoring_Model!L28</f>
        <v/>
      </c>
      <c r="F28" s="2">
        <f>Scoring_Model!J28</f>
        <v/>
      </c>
      <c r="G28">
        <f>IF(D28&lt;&gt;"Low Movement","",IFERROR(XLOOKUP(C28&amp;"|anchor",Scoring_Model!$P$2:$P$300,Scoring_Model!$Q$2:$Q$300,INDEX(Scoring_Model!$Q$2:$Q$300,MATCH("Yes",Scoring_Model!$M$2:$M$300,0))),"No anchor found"))</f>
        <v/>
      </c>
      <c r="H28" s="2">
        <f>Scoring_Model!O28</f>
        <v/>
      </c>
      <c r="I28">
        <f>IF(A28="","",IF(D28&lt;&gt;"Low Movement","Stable mover - bundle optional","Pair this low-movement item with the suggested anchor"))</f>
        <v/>
      </c>
    </row>
    <row r="29">
      <c r="A29">
        <f>Scoring_Model!A29</f>
        <v/>
      </c>
      <c r="B29">
        <f>Scoring_Model!B29</f>
        <v/>
      </c>
      <c r="C29">
        <f>Scoring_Model!C29</f>
        <v/>
      </c>
      <c r="D29">
        <f>Scoring_Model!K29</f>
        <v/>
      </c>
      <c r="E29">
        <f>Scoring_Model!L29</f>
        <v/>
      </c>
      <c r="F29" s="2">
        <f>Scoring_Model!J29</f>
        <v/>
      </c>
      <c r="G29">
        <f>IF(D29&lt;&gt;"Low Movement","",IFERROR(XLOOKUP(C29&amp;"|anchor",Scoring_Model!$P$2:$P$300,Scoring_Model!$Q$2:$Q$300,INDEX(Scoring_Model!$Q$2:$Q$300,MATCH("Yes",Scoring_Model!$M$2:$M$300,0))),"No anchor found"))</f>
        <v/>
      </c>
      <c r="H29" s="2">
        <f>Scoring_Model!O29</f>
        <v/>
      </c>
      <c r="I29">
        <f>IF(A29="","",IF(D29&lt;&gt;"Low Movement","Stable mover - bundle optional","Pair this low-movement item with the suggested anchor"))</f>
        <v/>
      </c>
    </row>
    <row r="30">
      <c r="A30">
        <f>Scoring_Model!A30</f>
        <v/>
      </c>
      <c r="B30">
        <f>Scoring_Model!B30</f>
        <v/>
      </c>
      <c r="C30">
        <f>Scoring_Model!C30</f>
        <v/>
      </c>
      <c r="D30">
        <f>Scoring_Model!K30</f>
        <v/>
      </c>
      <c r="E30">
        <f>Scoring_Model!L30</f>
        <v/>
      </c>
      <c r="F30" s="2">
        <f>Scoring_Model!J30</f>
        <v/>
      </c>
      <c r="G30">
        <f>IF(D30&lt;&gt;"Low Movement","",IFERROR(XLOOKUP(C30&amp;"|anchor",Scoring_Model!$P$2:$P$300,Scoring_Model!$Q$2:$Q$300,INDEX(Scoring_Model!$Q$2:$Q$300,MATCH("Yes",Scoring_Model!$M$2:$M$300,0))),"No anchor found"))</f>
        <v/>
      </c>
      <c r="H30" s="2">
        <f>Scoring_Model!O30</f>
        <v/>
      </c>
      <c r="I30">
        <f>IF(A30="","",IF(D30&lt;&gt;"Low Movement","Stable mover - bundle optional","Pair this low-movement item with the suggested anchor"))</f>
        <v/>
      </c>
    </row>
    <row r="31">
      <c r="A31">
        <f>Scoring_Model!A31</f>
        <v/>
      </c>
      <c r="B31">
        <f>Scoring_Model!B31</f>
        <v/>
      </c>
      <c r="C31">
        <f>Scoring_Model!C31</f>
        <v/>
      </c>
      <c r="D31">
        <f>Scoring_Model!K31</f>
        <v/>
      </c>
      <c r="E31">
        <f>Scoring_Model!L31</f>
        <v/>
      </c>
      <c r="F31" s="2">
        <f>Scoring_Model!J31</f>
        <v/>
      </c>
      <c r="G31">
        <f>IF(D31&lt;&gt;"Low Movement","",IFERROR(XLOOKUP(C31&amp;"|anchor",Scoring_Model!$P$2:$P$300,Scoring_Model!$Q$2:$Q$300,INDEX(Scoring_Model!$Q$2:$Q$300,MATCH("Yes",Scoring_Model!$M$2:$M$300,0))),"No anchor found"))</f>
        <v/>
      </c>
      <c r="H31" s="2">
        <f>Scoring_Model!O31</f>
        <v/>
      </c>
      <c r="I31">
        <f>IF(A31="","",IF(D31&lt;&gt;"Low Movement","Stable mover - bundle optional","Pair this low-movement item with the suggested anchor"))</f>
        <v/>
      </c>
    </row>
    <row r="32">
      <c r="A32">
        <f>Scoring_Model!A32</f>
        <v/>
      </c>
      <c r="B32">
        <f>Scoring_Model!B32</f>
        <v/>
      </c>
      <c r="C32">
        <f>Scoring_Model!C32</f>
        <v/>
      </c>
      <c r="D32">
        <f>Scoring_Model!K32</f>
        <v/>
      </c>
      <c r="E32">
        <f>Scoring_Model!L32</f>
        <v/>
      </c>
      <c r="F32" s="2">
        <f>Scoring_Model!J32</f>
        <v/>
      </c>
      <c r="G32">
        <f>IF(D32&lt;&gt;"Low Movement","",IFERROR(XLOOKUP(C32&amp;"|anchor",Scoring_Model!$P$2:$P$300,Scoring_Model!$Q$2:$Q$300,INDEX(Scoring_Model!$Q$2:$Q$300,MATCH("Yes",Scoring_Model!$M$2:$M$300,0))),"No anchor found"))</f>
        <v/>
      </c>
      <c r="H32" s="2">
        <f>Scoring_Model!O32</f>
        <v/>
      </c>
      <c r="I32">
        <f>IF(A32="","",IF(D32&lt;&gt;"Low Movement","Stable mover - bundle optional","Pair this low-movement item with the suggested anchor"))</f>
        <v/>
      </c>
    </row>
    <row r="33">
      <c r="A33">
        <f>Scoring_Model!A33</f>
        <v/>
      </c>
      <c r="B33">
        <f>Scoring_Model!B33</f>
        <v/>
      </c>
      <c r="C33">
        <f>Scoring_Model!C33</f>
        <v/>
      </c>
      <c r="D33">
        <f>Scoring_Model!K33</f>
        <v/>
      </c>
      <c r="E33">
        <f>Scoring_Model!L33</f>
        <v/>
      </c>
      <c r="F33" s="2">
        <f>Scoring_Model!J33</f>
        <v/>
      </c>
      <c r="G33">
        <f>IF(D33&lt;&gt;"Low Movement","",IFERROR(XLOOKUP(C33&amp;"|anchor",Scoring_Model!$P$2:$P$300,Scoring_Model!$Q$2:$Q$300,INDEX(Scoring_Model!$Q$2:$Q$300,MATCH("Yes",Scoring_Model!$M$2:$M$300,0))),"No anchor found"))</f>
        <v/>
      </c>
      <c r="H33" s="2">
        <f>Scoring_Model!O33</f>
        <v/>
      </c>
      <c r="I33">
        <f>IF(A33="","",IF(D33&lt;&gt;"Low Movement","Stable mover - bundle optional","Pair this low-movement item with the suggested anchor"))</f>
        <v/>
      </c>
    </row>
    <row r="34">
      <c r="A34">
        <f>Scoring_Model!A34</f>
        <v/>
      </c>
      <c r="B34">
        <f>Scoring_Model!B34</f>
        <v/>
      </c>
      <c r="C34">
        <f>Scoring_Model!C34</f>
        <v/>
      </c>
      <c r="D34">
        <f>Scoring_Model!K34</f>
        <v/>
      </c>
      <c r="E34">
        <f>Scoring_Model!L34</f>
        <v/>
      </c>
      <c r="F34" s="2">
        <f>Scoring_Model!J34</f>
        <v/>
      </c>
      <c r="G34">
        <f>IF(D34&lt;&gt;"Low Movement","",IFERROR(XLOOKUP(C34&amp;"|anchor",Scoring_Model!$P$2:$P$300,Scoring_Model!$Q$2:$Q$300,INDEX(Scoring_Model!$Q$2:$Q$300,MATCH("Yes",Scoring_Model!$M$2:$M$300,0))),"No anchor found"))</f>
        <v/>
      </c>
      <c r="H34" s="2">
        <f>Scoring_Model!O34</f>
        <v/>
      </c>
      <c r="I34">
        <f>IF(A34="","",IF(D34&lt;&gt;"Low Movement","Stable mover - bundle optional","Pair this low-movement item with the suggested anchor"))</f>
        <v/>
      </c>
    </row>
    <row r="35">
      <c r="A35">
        <f>Scoring_Model!A35</f>
        <v/>
      </c>
      <c r="B35">
        <f>Scoring_Model!B35</f>
        <v/>
      </c>
      <c r="C35">
        <f>Scoring_Model!C35</f>
        <v/>
      </c>
      <c r="D35">
        <f>Scoring_Model!K35</f>
        <v/>
      </c>
      <c r="E35">
        <f>Scoring_Model!L35</f>
        <v/>
      </c>
      <c r="F35" s="2">
        <f>Scoring_Model!J35</f>
        <v/>
      </c>
      <c r="G35">
        <f>IF(D35&lt;&gt;"Low Movement","",IFERROR(XLOOKUP(C35&amp;"|anchor",Scoring_Model!$P$2:$P$300,Scoring_Model!$Q$2:$Q$300,INDEX(Scoring_Model!$Q$2:$Q$300,MATCH("Yes",Scoring_Model!$M$2:$M$300,0))),"No anchor found"))</f>
        <v/>
      </c>
      <c r="H35" s="2">
        <f>Scoring_Model!O35</f>
        <v/>
      </c>
      <c r="I35">
        <f>IF(A35="","",IF(D35&lt;&gt;"Low Movement","Stable mover - bundle optional","Pair this low-movement item with the suggested anchor"))</f>
        <v/>
      </c>
    </row>
    <row r="36">
      <c r="A36">
        <f>Scoring_Model!A36</f>
        <v/>
      </c>
      <c r="B36">
        <f>Scoring_Model!B36</f>
        <v/>
      </c>
      <c r="C36">
        <f>Scoring_Model!C36</f>
        <v/>
      </c>
      <c r="D36">
        <f>Scoring_Model!K36</f>
        <v/>
      </c>
      <c r="E36">
        <f>Scoring_Model!L36</f>
        <v/>
      </c>
      <c r="F36" s="2">
        <f>Scoring_Model!J36</f>
        <v/>
      </c>
      <c r="G36">
        <f>IF(D36&lt;&gt;"Low Movement","",IFERROR(XLOOKUP(C36&amp;"|anchor",Scoring_Model!$P$2:$P$300,Scoring_Model!$Q$2:$Q$300,INDEX(Scoring_Model!$Q$2:$Q$300,MATCH("Yes",Scoring_Model!$M$2:$M$300,0))),"No anchor found"))</f>
        <v/>
      </c>
      <c r="H36" s="2">
        <f>Scoring_Model!O36</f>
        <v/>
      </c>
      <c r="I36">
        <f>IF(A36="","",IF(D36&lt;&gt;"Low Movement","Stable mover - bundle optional","Pair this low-movement item with the suggested anchor"))</f>
        <v/>
      </c>
    </row>
    <row r="37">
      <c r="A37">
        <f>Scoring_Model!A37</f>
        <v/>
      </c>
      <c r="B37">
        <f>Scoring_Model!B37</f>
        <v/>
      </c>
      <c r="C37">
        <f>Scoring_Model!C37</f>
        <v/>
      </c>
      <c r="D37">
        <f>Scoring_Model!K37</f>
        <v/>
      </c>
      <c r="E37">
        <f>Scoring_Model!L37</f>
        <v/>
      </c>
      <c r="F37" s="2">
        <f>Scoring_Model!J37</f>
        <v/>
      </c>
      <c r="G37">
        <f>IF(D37&lt;&gt;"Low Movement","",IFERROR(XLOOKUP(C37&amp;"|anchor",Scoring_Model!$P$2:$P$300,Scoring_Model!$Q$2:$Q$300,INDEX(Scoring_Model!$Q$2:$Q$300,MATCH("Yes",Scoring_Model!$M$2:$M$300,0))),"No anchor found"))</f>
        <v/>
      </c>
      <c r="H37" s="2">
        <f>Scoring_Model!O37</f>
        <v/>
      </c>
      <c r="I37">
        <f>IF(A37="","",IF(D37&lt;&gt;"Low Movement","Stable mover - bundle optional","Pair this low-movement item with the suggested anchor"))</f>
        <v/>
      </c>
    </row>
    <row r="38">
      <c r="A38">
        <f>Scoring_Model!A38</f>
        <v/>
      </c>
      <c r="B38">
        <f>Scoring_Model!B38</f>
        <v/>
      </c>
      <c r="C38">
        <f>Scoring_Model!C38</f>
        <v/>
      </c>
      <c r="D38">
        <f>Scoring_Model!K38</f>
        <v/>
      </c>
      <c r="E38">
        <f>Scoring_Model!L38</f>
        <v/>
      </c>
      <c r="F38" s="2">
        <f>Scoring_Model!J38</f>
        <v/>
      </c>
      <c r="G38">
        <f>IF(D38&lt;&gt;"Low Movement","",IFERROR(XLOOKUP(C38&amp;"|anchor",Scoring_Model!$P$2:$P$300,Scoring_Model!$Q$2:$Q$300,INDEX(Scoring_Model!$Q$2:$Q$300,MATCH("Yes",Scoring_Model!$M$2:$M$300,0))),"No anchor found"))</f>
        <v/>
      </c>
      <c r="H38" s="2">
        <f>Scoring_Model!O38</f>
        <v/>
      </c>
      <c r="I38">
        <f>IF(A38="","",IF(D38&lt;&gt;"Low Movement","Stable mover - bundle optional","Pair this low-movement item with the suggested anchor"))</f>
        <v/>
      </c>
    </row>
    <row r="39">
      <c r="A39">
        <f>Scoring_Model!A39</f>
        <v/>
      </c>
      <c r="B39">
        <f>Scoring_Model!B39</f>
        <v/>
      </c>
      <c r="C39">
        <f>Scoring_Model!C39</f>
        <v/>
      </c>
      <c r="D39">
        <f>Scoring_Model!K39</f>
        <v/>
      </c>
      <c r="E39">
        <f>Scoring_Model!L39</f>
        <v/>
      </c>
      <c r="F39" s="2">
        <f>Scoring_Model!J39</f>
        <v/>
      </c>
      <c r="G39">
        <f>IF(D39&lt;&gt;"Low Movement","",IFERROR(XLOOKUP(C39&amp;"|anchor",Scoring_Model!$P$2:$P$300,Scoring_Model!$Q$2:$Q$300,INDEX(Scoring_Model!$Q$2:$Q$300,MATCH("Yes",Scoring_Model!$M$2:$M$300,0))),"No anchor found"))</f>
        <v/>
      </c>
      <c r="H39" s="2">
        <f>Scoring_Model!O39</f>
        <v/>
      </c>
      <c r="I39">
        <f>IF(A39="","",IF(D39&lt;&gt;"Low Movement","Stable mover - bundle optional","Pair this low-movement item with the suggested anchor"))</f>
        <v/>
      </c>
    </row>
    <row r="40">
      <c r="A40">
        <f>Scoring_Model!A40</f>
        <v/>
      </c>
      <c r="B40">
        <f>Scoring_Model!B40</f>
        <v/>
      </c>
      <c r="C40">
        <f>Scoring_Model!C40</f>
        <v/>
      </c>
      <c r="D40">
        <f>Scoring_Model!K40</f>
        <v/>
      </c>
      <c r="E40">
        <f>Scoring_Model!L40</f>
        <v/>
      </c>
      <c r="F40" s="2">
        <f>Scoring_Model!J40</f>
        <v/>
      </c>
      <c r="G40">
        <f>IF(D40&lt;&gt;"Low Movement","",IFERROR(XLOOKUP(C40&amp;"|anchor",Scoring_Model!$P$2:$P$300,Scoring_Model!$Q$2:$Q$300,INDEX(Scoring_Model!$Q$2:$Q$300,MATCH("Yes",Scoring_Model!$M$2:$M$300,0))),"No anchor found"))</f>
        <v/>
      </c>
      <c r="H40" s="2">
        <f>Scoring_Model!O40</f>
        <v/>
      </c>
      <c r="I40">
        <f>IF(A40="","",IF(D40&lt;&gt;"Low Movement","Stable mover - bundle optional","Pair this low-movement item with the suggested anchor"))</f>
        <v/>
      </c>
    </row>
    <row r="41">
      <c r="A41">
        <f>Scoring_Model!A41</f>
        <v/>
      </c>
      <c r="B41">
        <f>Scoring_Model!B41</f>
        <v/>
      </c>
      <c r="C41">
        <f>Scoring_Model!C41</f>
        <v/>
      </c>
      <c r="D41">
        <f>Scoring_Model!K41</f>
        <v/>
      </c>
      <c r="E41">
        <f>Scoring_Model!L41</f>
        <v/>
      </c>
      <c r="F41" s="2">
        <f>Scoring_Model!J41</f>
        <v/>
      </c>
      <c r="G41">
        <f>IF(D41&lt;&gt;"Low Movement","",IFERROR(XLOOKUP(C41&amp;"|anchor",Scoring_Model!$P$2:$P$300,Scoring_Model!$Q$2:$Q$300,INDEX(Scoring_Model!$Q$2:$Q$300,MATCH("Yes",Scoring_Model!$M$2:$M$300,0))),"No anchor found"))</f>
        <v/>
      </c>
      <c r="H41" s="2">
        <f>Scoring_Model!O41</f>
        <v/>
      </c>
      <c r="I41">
        <f>IF(A41="","",IF(D41&lt;&gt;"Low Movement","Stable mover - bundle optional","Pair this low-movement item with the suggested anchor"))</f>
        <v/>
      </c>
    </row>
    <row r="42">
      <c r="A42">
        <f>Scoring_Model!A42</f>
        <v/>
      </c>
      <c r="B42">
        <f>Scoring_Model!B42</f>
        <v/>
      </c>
      <c r="C42">
        <f>Scoring_Model!C42</f>
        <v/>
      </c>
      <c r="D42">
        <f>Scoring_Model!K42</f>
        <v/>
      </c>
      <c r="E42">
        <f>Scoring_Model!L42</f>
        <v/>
      </c>
      <c r="F42" s="2">
        <f>Scoring_Model!J42</f>
        <v/>
      </c>
      <c r="G42">
        <f>IF(D42&lt;&gt;"Low Movement","",IFERROR(XLOOKUP(C42&amp;"|anchor",Scoring_Model!$P$2:$P$300,Scoring_Model!$Q$2:$Q$300,INDEX(Scoring_Model!$Q$2:$Q$300,MATCH("Yes",Scoring_Model!$M$2:$M$300,0))),"No anchor found"))</f>
        <v/>
      </c>
      <c r="H42" s="2">
        <f>Scoring_Model!O42</f>
        <v/>
      </c>
      <c r="I42">
        <f>IF(A42="","",IF(D42&lt;&gt;"Low Movement","Stable mover - bundle optional","Pair this low-movement item with the suggested anchor"))</f>
        <v/>
      </c>
    </row>
    <row r="43">
      <c r="A43">
        <f>Scoring_Model!A43</f>
        <v/>
      </c>
      <c r="B43">
        <f>Scoring_Model!B43</f>
        <v/>
      </c>
      <c r="C43">
        <f>Scoring_Model!C43</f>
        <v/>
      </c>
      <c r="D43">
        <f>Scoring_Model!K43</f>
        <v/>
      </c>
      <c r="E43">
        <f>Scoring_Model!L43</f>
        <v/>
      </c>
      <c r="F43" s="2">
        <f>Scoring_Model!J43</f>
        <v/>
      </c>
      <c r="G43">
        <f>IF(D43&lt;&gt;"Low Movement","",IFERROR(XLOOKUP(C43&amp;"|anchor",Scoring_Model!$P$2:$P$300,Scoring_Model!$Q$2:$Q$300,INDEX(Scoring_Model!$Q$2:$Q$300,MATCH("Yes",Scoring_Model!$M$2:$M$300,0))),"No anchor found"))</f>
        <v/>
      </c>
      <c r="H43" s="2">
        <f>Scoring_Model!O43</f>
        <v/>
      </c>
      <c r="I43">
        <f>IF(A43="","",IF(D43&lt;&gt;"Low Movement","Stable mover - bundle optional","Pair this low-movement item with the suggested anchor"))</f>
        <v/>
      </c>
    </row>
    <row r="44">
      <c r="A44">
        <f>Scoring_Model!A44</f>
        <v/>
      </c>
      <c r="B44">
        <f>Scoring_Model!B44</f>
        <v/>
      </c>
      <c r="C44">
        <f>Scoring_Model!C44</f>
        <v/>
      </c>
      <c r="D44">
        <f>Scoring_Model!K44</f>
        <v/>
      </c>
      <c r="E44">
        <f>Scoring_Model!L44</f>
        <v/>
      </c>
      <c r="F44" s="2">
        <f>Scoring_Model!J44</f>
        <v/>
      </c>
      <c r="G44">
        <f>IF(D44&lt;&gt;"Low Movement","",IFERROR(XLOOKUP(C44&amp;"|anchor",Scoring_Model!$P$2:$P$300,Scoring_Model!$Q$2:$Q$300,INDEX(Scoring_Model!$Q$2:$Q$300,MATCH("Yes",Scoring_Model!$M$2:$M$300,0))),"No anchor found"))</f>
        <v/>
      </c>
      <c r="H44" s="2">
        <f>Scoring_Model!O44</f>
        <v/>
      </c>
      <c r="I44">
        <f>IF(A44="","",IF(D44&lt;&gt;"Low Movement","Stable mover - bundle optional","Pair this low-movement item with the suggested anchor"))</f>
        <v/>
      </c>
    </row>
    <row r="45">
      <c r="A45">
        <f>Scoring_Model!A45</f>
        <v/>
      </c>
      <c r="B45">
        <f>Scoring_Model!B45</f>
        <v/>
      </c>
      <c r="C45">
        <f>Scoring_Model!C45</f>
        <v/>
      </c>
      <c r="D45">
        <f>Scoring_Model!K45</f>
        <v/>
      </c>
      <c r="E45">
        <f>Scoring_Model!L45</f>
        <v/>
      </c>
      <c r="F45" s="2">
        <f>Scoring_Model!J45</f>
        <v/>
      </c>
      <c r="G45">
        <f>IF(D45&lt;&gt;"Low Movement","",IFERROR(XLOOKUP(C45&amp;"|anchor",Scoring_Model!$P$2:$P$300,Scoring_Model!$Q$2:$Q$300,INDEX(Scoring_Model!$Q$2:$Q$300,MATCH("Yes",Scoring_Model!$M$2:$M$300,0))),"No anchor found"))</f>
        <v/>
      </c>
      <c r="H45" s="2">
        <f>Scoring_Model!O45</f>
        <v/>
      </c>
      <c r="I45">
        <f>IF(A45="","",IF(D45&lt;&gt;"Low Movement","Stable mover - bundle optional","Pair this low-movement item with the suggested anchor"))</f>
        <v/>
      </c>
    </row>
    <row r="46">
      <c r="A46">
        <f>Scoring_Model!A46</f>
        <v/>
      </c>
      <c r="B46">
        <f>Scoring_Model!B46</f>
        <v/>
      </c>
      <c r="C46">
        <f>Scoring_Model!C46</f>
        <v/>
      </c>
      <c r="D46">
        <f>Scoring_Model!K46</f>
        <v/>
      </c>
      <c r="E46">
        <f>Scoring_Model!L46</f>
        <v/>
      </c>
      <c r="F46" s="2">
        <f>Scoring_Model!J46</f>
        <v/>
      </c>
      <c r="G46">
        <f>IF(D46&lt;&gt;"Low Movement","",IFERROR(XLOOKUP(C46&amp;"|anchor",Scoring_Model!$P$2:$P$300,Scoring_Model!$Q$2:$Q$300,INDEX(Scoring_Model!$Q$2:$Q$300,MATCH("Yes",Scoring_Model!$M$2:$M$300,0))),"No anchor found"))</f>
        <v/>
      </c>
      <c r="H46" s="2">
        <f>Scoring_Model!O46</f>
        <v/>
      </c>
      <c r="I46">
        <f>IF(A46="","",IF(D46&lt;&gt;"Low Movement","Stable mover - bundle optional","Pair this low-movement item with the suggested anchor"))</f>
        <v/>
      </c>
    </row>
    <row r="47">
      <c r="A47">
        <f>Scoring_Model!A47</f>
        <v/>
      </c>
      <c r="B47">
        <f>Scoring_Model!B47</f>
        <v/>
      </c>
      <c r="C47">
        <f>Scoring_Model!C47</f>
        <v/>
      </c>
      <c r="D47">
        <f>Scoring_Model!K47</f>
        <v/>
      </c>
      <c r="E47">
        <f>Scoring_Model!L47</f>
        <v/>
      </c>
      <c r="F47" s="2">
        <f>Scoring_Model!J47</f>
        <v/>
      </c>
      <c r="G47">
        <f>IF(D47&lt;&gt;"Low Movement","",IFERROR(XLOOKUP(C47&amp;"|anchor",Scoring_Model!$P$2:$P$300,Scoring_Model!$Q$2:$Q$300,INDEX(Scoring_Model!$Q$2:$Q$300,MATCH("Yes",Scoring_Model!$M$2:$M$300,0))),"No anchor found"))</f>
        <v/>
      </c>
      <c r="H47" s="2">
        <f>Scoring_Model!O47</f>
        <v/>
      </c>
      <c r="I47">
        <f>IF(A47="","",IF(D47&lt;&gt;"Low Movement","Stable mover - bundle optional","Pair this low-movement item with the suggested anchor"))</f>
        <v/>
      </c>
    </row>
    <row r="48">
      <c r="A48">
        <f>Scoring_Model!A48</f>
        <v/>
      </c>
      <c r="B48">
        <f>Scoring_Model!B48</f>
        <v/>
      </c>
      <c r="C48">
        <f>Scoring_Model!C48</f>
        <v/>
      </c>
      <c r="D48">
        <f>Scoring_Model!K48</f>
        <v/>
      </c>
      <c r="E48">
        <f>Scoring_Model!L48</f>
        <v/>
      </c>
      <c r="F48" s="2">
        <f>Scoring_Model!J48</f>
        <v/>
      </c>
      <c r="G48">
        <f>IF(D48&lt;&gt;"Low Movement","",IFERROR(XLOOKUP(C48&amp;"|anchor",Scoring_Model!$P$2:$P$300,Scoring_Model!$Q$2:$Q$300,INDEX(Scoring_Model!$Q$2:$Q$300,MATCH("Yes",Scoring_Model!$M$2:$M$300,0))),"No anchor found"))</f>
        <v/>
      </c>
      <c r="H48" s="2">
        <f>Scoring_Model!O48</f>
        <v/>
      </c>
      <c r="I48">
        <f>IF(A48="","",IF(D48&lt;&gt;"Low Movement","Stable mover - bundle optional","Pair this low-movement item with the suggested anchor"))</f>
        <v/>
      </c>
    </row>
    <row r="49">
      <c r="A49">
        <f>Scoring_Model!A49</f>
        <v/>
      </c>
      <c r="B49">
        <f>Scoring_Model!B49</f>
        <v/>
      </c>
      <c r="C49">
        <f>Scoring_Model!C49</f>
        <v/>
      </c>
      <c r="D49">
        <f>Scoring_Model!K49</f>
        <v/>
      </c>
      <c r="E49">
        <f>Scoring_Model!L49</f>
        <v/>
      </c>
      <c r="F49" s="2">
        <f>Scoring_Model!J49</f>
        <v/>
      </c>
      <c r="G49">
        <f>IF(D49&lt;&gt;"Low Movement","",IFERROR(XLOOKUP(C49&amp;"|anchor",Scoring_Model!$P$2:$P$300,Scoring_Model!$Q$2:$Q$300,INDEX(Scoring_Model!$Q$2:$Q$300,MATCH("Yes",Scoring_Model!$M$2:$M$300,0))),"No anchor found"))</f>
        <v/>
      </c>
      <c r="H49" s="2">
        <f>Scoring_Model!O49</f>
        <v/>
      </c>
      <c r="I49">
        <f>IF(A49="","",IF(D49&lt;&gt;"Low Movement","Stable mover - bundle optional","Pair this low-movement item with the suggested anchor"))</f>
        <v/>
      </c>
    </row>
    <row r="50">
      <c r="A50">
        <f>Scoring_Model!A50</f>
        <v/>
      </c>
      <c r="B50">
        <f>Scoring_Model!B50</f>
        <v/>
      </c>
      <c r="C50">
        <f>Scoring_Model!C50</f>
        <v/>
      </c>
      <c r="D50">
        <f>Scoring_Model!K50</f>
        <v/>
      </c>
      <c r="E50">
        <f>Scoring_Model!L50</f>
        <v/>
      </c>
      <c r="F50" s="2">
        <f>Scoring_Model!J50</f>
        <v/>
      </c>
      <c r="G50">
        <f>IF(D50&lt;&gt;"Low Movement","",IFERROR(XLOOKUP(C50&amp;"|anchor",Scoring_Model!$P$2:$P$300,Scoring_Model!$Q$2:$Q$300,INDEX(Scoring_Model!$Q$2:$Q$300,MATCH("Yes",Scoring_Model!$M$2:$M$300,0))),"No anchor found"))</f>
        <v/>
      </c>
      <c r="H50" s="2">
        <f>Scoring_Model!O50</f>
        <v/>
      </c>
      <c r="I50">
        <f>IF(A50="","",IF(D50&lt;&gt;"Low Movement","Stable mover - bundle optional","Pair this low-movement item with the suggested anchor"))</f>
        <v/>
      </c>
    </row>
    <row r="51">
      <c r="A51">
        <f>Scoring_Model!A51</f>
        <v/>
      </c>
      <c r="B51">
        <f>Scoring_Model!B51</f>
        <v/>
      </c>
      <c r="C51">
        <f>Scoring_Model!C51</f>
        <v/>
      </c>
      <c r="D51">
        <f>Scoring_Model!K51</f>
        <v/>
      </c>
      <c r="E51">
        <f>Scoring_Model!L51</f>
        <v/>
      </c>
      <c r="F51" s="2">
        <f>Scoring_Model!J51</f>
        <v/>
      </c>
      <c r="G51">
        <f>IF(D51&lt;&gt;"Low Movement","",IFERROR(XLOOKUP(C51&amp;"|anchor",Scoring_Model!$P$2:$P$300,Scoring_Model!$Q$2:$Q$300,INDEX(Scoring_Model!$Q$2:$Q$300,MATCH("Yes",Scoring_Model!$M$2:$M$300,0))),"No anchor found"))</f>
        <v/>
      </c>
      <c r="H51" s="2">
        <f>Scoring_Model!O51</f>
        <v/>
      </c>
      <c r="I51">
        <f>IF(A51="","",IF(D51&lt;&gt;"Low Movement","Stable mover - bundle optional","Pair this low-movement item with the suggested anchor"))</f>
        <v/>
      </c>
    </row>
    <row r="52">
      <c r="A52">
        <f>Scoring_Model!A52</f>
        <v/>
      </c>
      <c r="B52">
        <f>Scoring_Model!B52</f>
        <v/>
      </c>
      <c r="C52">
        <f>Scoring_Model!C52</f>
        <v/>
      </c>
      <c r="D52">
        <f>Scoring_Model!K52</f>
        <v/>
      </c>
      <c r="E52">
        <f>Scoring_Model!L52</f>
        <v/>
      </c>
      <c r="F52" s="2">
        <f>Scoring_Model!J52</f>
        <v/>
      </c>
      <c r="G52">
        <f>IF(D52&lt;&gt;"Low Movement","",IFERROR(XLOOKUP(C52&amp;"|anchor",Scoring_Model!$P$2:$P$300,Scoring_Model!$Q$2:$Q$300,INDEX(Scoring_Model!$Q$2:$Q$300,MATCH("Yes",Scoring_Model!$M$2:$M$300,0))),"No anchor found"))</f>
        <v/>
      </c>
      <c r="H52" s="2">
        <f>Scoring_Model!O52</f>
        <v/>
      </c>
      <c r="I52">
        <f>IF(A52="","",IF(D52&lt;&gt;"Low Movement","Stable mover - bundle optional","Pair this low-movement item with the suggested anchor"))</f>
        <v/>
      </c>
    </row>
    <row r="53">
      <c r="A53">
        <f>Scoring_Model!A53</f>
        <v/>
      </c>
      <c r="B53">
        <f>Scoring_Model!B53</f>
        <v/>
      </c>
      <c r="C53">
        <f>Scoring_Model!C53</f>
        <v/>
      </c>
      <c r="D53">
        <f>Scoring_Model!K53</f>
        <v/>
      </c>
      <c r="E53">
        <f>Scoring_Model!L53</f>
        <v/>
      </c>
      <c r="F53" s="2">
        <f>Scoring_Model!J53</f>
        <v/>
      </c>
      <c r="G53">
        <f>IF(D53&lt;&gt;"Low Movement","",IFERROR(XLOOKUP(C53&amp;"|anchor",Scoring_Model!$P$2:$P$300,Scoring_Model!$Q$2:$Q$300,INDEX(Scoring_Model!$Q$2:$Q$300,MATCH("Yes",Scoring_Model!$M$2:$M$300,0))),"No anchor found"))</f>
        <v/>
      </c>
      <c r="H53" s="2">
        <f>Scoring_Model!O53</f>
        <v/>
      </c>
      <c r="I53">
        <f>IF(A53="","",IF(D53&lt;&gt;"Low Movement","Stable mover - bundle optional","Pair this low-movement item with the suggested anchor"))</f>
        <v/>
      </c>
    </row>
    <row r="54">
      <c r="A54">
        <f>Scoring_Model!A54</f>
        <v/>
      </c>
      <c r="B54">
        <f>Scoring_Model!B54</f>
        <v/>
      </c>
      <c r="C54">
        <f>Scoring_Model!C54</f>
        <v/>
      </c>
      <c r="D54">
        <f>Scoring_Model!K54</f>
        <v/>
      </c>
      <c r="E54">
        <f>Scoring_Model!L54</f>
        <v/>
      </c>
      <c r="F54" s="2">
        <f>Scoring_Model!J54</f>
        <v/>
      </c>
      <c r="G54">
        <f>IF(D54&lt;&gt;"Low Movement","",IFERROR(XLOOKUP(C54&amp;"|anchor",Scoring_Model!$P$2:$P$300,Scoring_Model!$Q$2:$Q$300,INDEX(Scoring_Model!$Q$2:$Q$300,MATCH("Yes",Scoring_Model!$M$2:$M$300,0))),"No anchor found"))</f>
        <v/>
      </c>
      <c r="H54" s="2">
        <f>Scoring_Model!O54</f>
        <v/>
      </c>
      <c r="I54">
        <f>IF(A54="","",IF(D54&lt;&gt;"Low Movement","Stable mover - bundle optional","Pair this low-movement item with the suggested anchor"))</f>
        <v/>
      </c>
    </row>
    <row r="55">
      <c r="A55">
        <f>Scoring_Model!A55</f>
        <v/>
      </c>
      <c r="B55">
        <f>Scoring_Model!B55</f>
        <v/>
      </c>
      <c r="C55">
        <f>Scoring_Model!C55</f>
        <v/>
      </c>
      <c r="D55">
        <f>Scoring_Model!K55</f>
        <v/>
      </c>
      <c r="E55">
        <f>Scoring_Model!L55</f>
        <v/>
      </c>
      <c r="F55" s="2">
        <f>Scoring_Model!J55</f>
        <v/>
      </c>
      <c r="G55">
        <f>IF(D55&lt;&gt;"Low Movement","",IFERROR(XLOOKUP(C55&amp;"|anchor",Scoring_Model!$P$2:$P$300,Scoring_Model!$Q$2:$Q$300,INDEX(Scoring_Model!$Q$2:$Q$300,MATCH("Yes",Scoring_Model!$M$2:$M$300,0))),"No anchor found"))</f>
        <v/>
      </c>
      <c r="H55" s="2">
        <f>Scoring_Model!O55</f>
        <v/>
      </c>
      <c r="I55">
        <f>IF(A55="","",IF(D55&lt;&gt;"Low Movement","Stable mover - bundle optional","Pair this low-movement item with the suggested anchor"))</f>
        <v/>
      </c>
    </row>
    <row r="56">
      <c r="A56">
        <f>Scoring_Model!A56</f>
        <v/>
      </c>
      <c r="B56">
        <f>Scoring_Model!B56</f>
        <v/>
      </c>
      <c r="C56">
        <f>Scoring_Model!C56</f>
        <v/>
      </c>
      <c r="D56">
        <f>Scoring_Model!K56</f>
        <v/>
      </c>
      <c r="E56">
        <f>Scoring_Model!L56</f>
        <v/>
      </c>
      <c r="F56" s="2">
        <f>Scoring_Model!J56</f>
        <v/>
      </c>
      <c r="G56">
        <f>IF(D56&lt;&gt;"Low Movement","",IFERROR(XLOOKUP(C56&amp;"|anchor",Scoring_Model!$P$2:$P$300,Scoring_Model!$Q$2:$Q$300,INDEX(Scoring_Model!$Q$2:$Q$300,MATCH("Yes",Scoring_Model!$M$2:$M$300,0))),"No anchor found"))</f>
        <v/>
      </c>
      <c r="H56" s="2">
        <f>Scoring_Model!O56</f>
        <v/>
      </c>
      <c r="I56">
        <f>IF(A56="","",IF(D56&lt;&gt;"Low Movement","Stable mover - bundle optional","Pair this low-movement item with the suggested anchor"))</f>
        <v/>
      </c>
    </row>
    <row r="57">
      <c r="A57">
        <f>Scoring_Model!A57</f>
        <v/>
      </c>
      <c r="B57">
        <f>Scoring_Model!B57</f>
        <v/>
      </c>
      <c r="C57">
        <f>Scoring_Model!C57</f>
        <v/>
      </c>
      <c r="D57">
        <f>Scoring_Model!K57</f>
        <v/>
      </c>
      <c r="E57">
        <f>Scoring_Model!L57</f>
        <v/>
      </c>
      <c r="F57" s="2">
        <f>Scoring_Model!J57</f>
        <v/>
      </c>
      <c r="G57">
        <f>IF(D57&lt;&gt;"Low Movement","",IFERROR(XLOOKUP(C57&amp;"|anchor",Scoring_Model!$P$2:$P$300,Scoring_Model!$Q$2:$Q$300,INDEX(Scoring_Model!$Q$2:$Q$300,MATCH("Yes",Scoring_Model!$M$2:$M$300,0))),"No anchor found"))</f>
        <v/>
      </c>
      <c r="H57" s="2">
        <f>Scoring_Model!O57</f>
        <v/>
      </c>
      <c r="I57">
        <f>IF(A57="","",IF(D57&lt;&gt;"Low Movement","Stable mover - bundle optional","Pair this low-movement item with the suggested anchor"))</f>
        <v/>
      </c>
    </row>
    <row r="58">
      <c r="A58">
        <f>Scoring_Model!A58</f>
        <v/>
      </c>
      <c r="B58">
        <f>Scoring_Model!B58</f>
        <v/>
      </c>
      <c r="C58">
        <f>Scoring_Model!C58</f>
        <v/>
      </c>
      <c r="D58">
        <f>Scoring_Model!K58</f>
        <v/>
      </c>
      <c r="E58">
        <f>Scoring_Model!L58</f>
        <v/>
      </c>
      <c r="F58" s="2">
        <f>Scoring_Model!J58</f>
        <v/>
      </c>
      <c r="G58">
        <f>IF(D58&lt;&gt;"Low Movement","",IFERROR(XLOOKUP(C58&amp;"|anchor",Scoring_Model!$P$2:$P$300,Scoring_Model!$Q$2:$Q$300,INDEX(Scoring_Model!$Q$2:$Q$300,MATCH("Yes",Scoring_Model!$M$2:$M$300,0))),"No anchor found"))</f>
        <v/>
      </c>
      <c r="H58" s="2">
        <f>Scoring_Model!O58</f>
        <v/>
      </c>
      <c r="I58">
        <f>IF(A58="","",IF(D58&lt;&gt;"Low Movement","Stable mover - bundle optional","Pair this low-movement item with the suggested anchor"))</f>
        <v/>
      </c>
    </row>
    <row r="59">
      <c r="A59">
        <f>Scoring_Model!A59</f>
        <v/>
      </c>
      <c r="B59">
        <f>Scoring_Model!B59</f>
        <v/>
      </c>
      <c r="C59">
        <f>Scoring_Model!C59</f>
        <v/>
      </c>
      <c r="D59">
        <f>Scoring_Model!K59</f>
        <v/>
      </c>
      <c r="E59">
        <f>Scoring_Model!L59</f>
        <v/>
      </c>
      <c r="F59" s="2">
        <f>Scoring_Model!J59</f>
        <v/>
      </c>
      <c r="G59">
        <f>IF(D59&lt;&gt;"Low Movement","",IFERROR(XLOOKUP(C59&amp;"|anchor",Scoring_Model!$P$2:$P$300,Scoring_Model!$Q$2:$Q$300,INDEX(Scoring_Model!$Q$2:$Q$300,MATCH("Yes",Scoring_Model!$M$2:$M$300,0))),"No anchor found"))</f>
        <v/>
      </c>
      <c r="H59" s="2">
        <f>Scoring_Model!O59</f>
        <v/>
      </c>
      <c r="I59">
        <f>IF(A59="","",IF(D59&lt;&gt;"Low Movement","Stable mover - bundle optional","Pair this low-movement item with the suggested anchor"))</f>
        <v/>
      </c>
    </row>
    <row r="60">
      <c r="A60">
        <f>Scoring_Model!A60</f>
        <v/>
      </c>
      <c r="B60">
        <f>Scoring_Model!B60</f>
        <v/>
      </c>
      <c r="C60">
        <f>Scoring_Model!C60</f>
        <v/>
      </c>
      <c r="D60">
        <f>Scoring_Model!K60</f>
        <v/>
      </c>
      <c r="E60">
        <f>Scoring_Model!L60</f>
        <v/>
      </c>
      <c r="F60" s="2">
        <f>Scoring_Model!J60</f>
        <v/>
      </c>
      <c r="G60">
        <f>IF(D60&lt;&gt;"Low Movement","",IFERROR(XLOOKUP(C60&amp;"|anchor",Scoring_Model!$P$2:$P$300,Scoring_Model!$Q$2:$Q$300,INDEX(Scoring_Model!$Q$2:$Q$300,MATCH("Yes",Scoring_Model!$M$2:$M$300,0))),"No anchor found"))</f>
        <v/>
      </c>
      <c r="H60" s="2">
        <f>Scoring_Model!O60</f>
        <v/>
      </c>
      <c r="I60">
        <f>IF(A60="","",IF(D60&lt;&gt;"Low Movement","Stable mover - bundle optional","Pair this low-movement item with the suggested anchor"))</f>
        <v/>
      </c>
    </row>
    <row r="61">
      <c r="A61">
        <f>Scoring_Model!A61</f>
        <v/>
      </c>
      <c r="B61">
        <f>Scoring_Model!B61</f>
        <v/>
      </c>
      <c r="C61">
        <f>Scoring_Model!C61</f>
        <v/>
      </c>
      <c r="D61">
        <f>Scoring_Model!K61</f>
        <v/>
      </c>
      <c r="E61">
        <f>Scoring_Model!L61</f>
        <v/>
      </c>
      <c r="F61" s="2">
        <f>Scoring_Model!J61</f>
        <v/>
      </c>
      <c r="G61">
        <f>IF(D61&lt;&gt;"Low Movement","",IFERROR(XLOOKUP(C61&amp;"|anchor",Scoring_Model!$P$2:$P$300,Scoring_Model!$Q$2:$Q$300,INDEX(Scoring_Model!$Q$2:$Q$300,MATCH("Yes",Scoring_Model!$M$2:$M$300,0))),"No anchor found"))</f>
        <v/>
      </c>
      <c r="H61" s="2">
        <f>Scoring_Model!O61</f>
        <v/>
      </c>
      <c r="I61">
        <f>IF(A61="","",IF(D61&lt;&gt;"Low Movement","Stable mover - bundle optional","Pair this low-movement item with the suggested anchor"))</f>
        <v/>
      </c>
    </row>
    <row r="62">
      <c r="A62">
        <f>Scoring_Model!A62</f>
        <v/>
      </c>
      <c r="B62">
        <f>Scoring_Model!B62</f>
        <v/>
      </c>
      <c r="C62">
        <f>Scoring_Model!C62</f>
        <v/>
      </c>
      <c r="D62">
        <f>Scoring_Model!K62</f>
        <v/>
      </c>
      <c r="E62">
        <f>Scoring_Model!L62</f>
        <v/>
      </c>
      <c r="F62" s="2">
        <f>Scoring_Model!J62</f>
        <v/>
      </c>
      <c r="G62">
        <f>IF(D62&lt;&gt;"Low Movement","",IFERROR(XLOOKUP(C62&amp;"|anchor",Scoring_Model!$P$2:$P$300,Scoring_Model!$Q$2:$Q$300,INDEX(Scoring_Model!$Q$2:$Q$300,MATCH("Yes",Scoring_Model!$M$2:$M$300,0))),"No anchor found"))</f>
        <v/>
      </c>
      <c r="H62" s="2">
        <f>Scoring_Model!O62</f>
        <v/>
      </c>
      <c r="I62">
        <f>IF(A62="","",IF(D62&lt;&gt;"Low Movement","Stable mover - bundle optional","Pair this low-movement item with the suggested anchor"))</f>
        <v/>
      </c>
    </row>
    <row r="63">
      <c r="A63">
        <f>Scoring_Model!A63</f>
        <v/>
      </c>
      <c r="B63">
        <f>Scoring_Model!B63</f>
        <v/>
      </c>
      <c r="C63">
        <f>Scoring_Model!C63</f>
        <v/>
      </c>
      <c r="D63">
        <f>Scoring_Model!K63</f>
        <v/>
      </c>
      <c r="E63">
        <f>Scoring_Model!L63</f>
        <v/>
      </c>
      <c r="F63" s="2">
        <f>Scoring_Model!J63</f>
        <v/>
      </c>
      <c r="G63">
        <f>IF(D63&lt;&gt;"Low Movement","",IFERROR(XLOOKUP(C63&amp;"|anchor",Scoring_Model!$P$2:$P$300,Scoring_Model!$Q$2:$Q$300,INDEX(Scoring_Model!$Q$2:$Q$300,MATCH("Yes",Scoring_Model!$M$2:$M$300,0))),"No anchor found"))</f>
        <v/>
      </c>
      <c r="H63" s="2">
        <f>Scoring_Model!O63</f>
        <v/>
      </c>
      <c r="I63">
        <f>IF(A63="","",IF(D63&lt;&gt;"Low Movement","Stable mover - bundle optional","Pair this low-movement item with the suggested anchor"))</f>
        <v/>
      </c>
    </row>
    <row r="64">
      <c r="A64">
        <f>Scoring_Model!A64</f>
        <v/>
      </c>
      <c r="B64">
        <f>Scoring_Model!B64</f>
        <v/>
      </c>
      <c r="C64">
        <f>Scoring_Model!C64</f>
        <v/>
      </c>
      <c r="D64">
        <f>Scoring_Model!K64</f>
        <v/>
      </c>
      <c r="E64">
        <f>Scoring_Model!L64</f>
        <v/>
      </c>
      <c r="F64" s="2">
        <f>Scoring_Model!J64</f>
        <v/>
      </c>
      <c r="G64">
        <f>IF(D64&lt;&gt;"Low Movement","",IFERROR(XLOOKUP(C64&amp;"|anchor",Scoring_Model!$P$2:$P$300,Scoring_Model!$Q$2:$Q$300,INDEX(Scoring_Model!$Q$2:$Q$300,MATCH("Yes",Scoring_Model!$M$2:$M$300,0))),"No anchor found"))</f>
        <v/>
      </c>
      <c r="H64" s="2">
        <f>Scoring_Model!O64</f>
        <v/>
      </c>
      <c r="I64">
        <f>IF(A64="","",IF(D64&lt;&gt;"Low Movement","Stable mover - bundle optional","Pair this low-movement item with the suggested anchor"))</f>
        <v/>
      </c>
    </row>
    <row r="65">
      <c r="A65">
        <f>Scoring_Model!A65</f>
        <v/>
      </c>
      <c r="B65">
        <f>Scoring_Model!B65</f>
        <v/>
      </c>
      <c r="C65">
        <f>Scoring_Model!C65</f>
        <v/>
      </c>
      <c r="D65">
        <f>Scoring_Model!K65</f>
        <v/>
      </c>
      <c r="E65">
        <f>Scoring_Model!L65</f>
        <v/>
      </c>
      <c r="F65" s="2">
        <f>Scoring_Model!J65</f>
        <v/>
      </c>
      <c r="G65">
        <f>IF(D65&lt;&gt;"Low Movement","",IFERROR(XLOOKUP(C65&amp;"|anchor",Scoring_Model!$P$2:$P$300,Scoring_Model!$Q$2:$Q$300,INDEX(Scoring_Model!$Q$2:$Q$300,MATCH("Yes",Scoring_Model!$M$2:$M$300,0))),"No anchor found"))</f>
        <v/>
      </c>
      <c r="H65" s="2">
        <f>Scoring_Model!O65</f>
        <v/>
      </c>
      <c r="I65">
        <f>IF(A65="","",IF(D65&lt;&gt;"Low Movement","Stable mover - bundle optional","Pair this low-movement item with the suggested anchor"))</f>
        <v/>
      </c>
    </row>
    <row r="66">
      <c r="A66">
        <f>Scoring_Model!A66</f>
        <v/>
      </c>
      <c r="B66">
        <f>Scoring_Model!B66</f>
        <v/>
      </c>
      <c r="C66">
        <f>Scoring_Model!C66</f>
        <v/>
      </c>
      <c r="D66">
        <f>Scoring_Model!K66</f>
        <v/>
      </c>
      <c r="E66">
        <f>Scoring_Model!L66</f>
        <v/>
      </c>
      <c r="F66" s="2">
        <f>Scoring_Model!J66</f>
        <v/>
      </c>
      <c r="G66">
        <f>IF(D66&lt;&gt;"Low Movement","",IFERROR(XLOOKUP(C66&amp;"|anchor",Scoring_Model!$P$2:$P$300,Scoring_Model!$Q$2:$Q$300,INDEX(Scoring_Model!$Q$2:$Q$300,MATCH("Yes",Scoring_Model!$M$2:$M$300,0))),"No anchor found"))</f>
        <v/>
      </c>
      <c r="H66" s="2">
        <f>Scoring_Model!O66</f>
        <v/>
      </c>
      <c r="I66">
        <f>IF(A66="","",IF(D66&lt;&gt;"Low Movement","Stable mover - bundle optional","Pair this low-movement item with the suggested anchor"))</f>
        <v/>
      </c>
    </row>
    <row r="67">
      <c r="A67">
        <f>Scoring_Model!A67</f>
        <v/>
      </c>
      <c r="B67">
        <f>Scoring_Model!B67</f>
        <v/>
      </c>
      <c r="C67">
        <f>Scoring_Model!C67</f>
        <v/>
      </c>
      <c r="D67">
        <f>Scoring_Model!K67</f>
        <v/>
      </c>
      <c r="E67">
        <f>Scoring_Model!L67</f>
        <v/>
      </c>
      <c r="F67" s="2">
        <f>Scoring_Model!J67</f>
        <v/>
      </c>
      <c r="G67">
        <f>IF(D67&lt;&gt;"Low Movement","",IFERROR(XLOOKUP(C67&amp;"|anchor",Scoring_Model!$P$2:$P$300,Scoring_Model!$Q$2:$Q$300,INDEX(Scoring_Model!$Q$2:$Q$300,MATCH("Yes",Scoring_Model!$M$2:$M$300,0))),"No anchor found"))</f>
        <v/>
      </c>
      <c r="H67" s="2">
        <f>Scoring_Model!O67</f>
        <v/>
      </c>
      <c r="I67">
        <f>IF(A67="","",IF(D67&lt;&gt;"Low Movement","Stable mover - bundle optional","Pair this low-movement item with the suggested anchor"))</f>
        <v/>
      </c>
    </row>
    <row r="68">
      <c r="A68">
        <f>Scoring_Model!A68</f>
        <v/>
      </c>
      <c r="B68">
        <f>Scoring_Model!B68</f>
        <v/>
      </c>
      <c r="C68">
        <f>Scoring_Model!C68</f>
        <v/>
      </c>
      <c r="D68">
        <f>Scoring_Model!K68</f>
        <v/>
      </c>
      <c r="E68">
        <f>Scoring_Model!L68</f>
        <v/>
      </c>
      <c r="F68" s="2">
        <f>Scoring_Model!J68</f>
        <v/>
      </c>
      <c r="G68">
        <f>IF(D68&lt;&gt;"Low Movement","",IFERROR(XLOOKUP(C68&amp;"|anchor",Scoring_Model!$P$2:$P$300,Scoring_Model!$Q$2:$Q$300,INDEX(Scoring_Model!$Q$2:$Q$300,MATCH("Yes",Scoring_Model!$M$2:$M$300,0))),"No anchor found"))</f>
        <v/>
      </c>
      <c r="H68" s="2">
        <f>Scoring_Model!O68</f>
        <v/>
      </c>
      <c r="I68">
        <f>IF(A68="","",IF(D68&lt;&gt;"Low Movement","Stable mover - bundle optional","Pair this low-movement item with the suggested anchor"))</f>
        <v/>
      </c>
    </row>
    <row r="69">
      <c r="A69">
        <f>Scoring_Model!A69</f>
        <v/>
      </c>
      <c r="B69">
        <f>Scoring_Model!B69</f>
        <v/>
      </c>
      <c r="C69">
        <f>Scoring_Model!C69</f>
        <v/>
      </c>
      <c r="D69">
        <f>Scoring_Model!K69</f>
        <v/>
      </c>
      <c r="E69">
        <f>Scoring_Model!L69</f>
        <v/>
      </c>
      <c r="F69" s="2">
        <f>Scoring_Model!J69</f>
        <v/>
      </c>
      <c r="G69">
        <f>IF(D69&lt;&gt;"Low Movement","",IFERROR(XLOOKUP(C69&amp;"|anchor",Scoring_Model!$P$2:$P$300,Scoring_Model!$Q$2:$Q$300,INDEX(Scoring_Model!$Q$2:$Q$300,MATCH("Yes",Scoring_Model!$M$2:$M$300,0))),"No anchor found"))</f>
        <v/>
      </c>
      <c r="H69" s="2">
        <f>Scoring_Model!O69</f>
        <v/>
      </c>
      <c r="I69">
        <f>IF(A69="","",IF(D69&lt;&gt;"Low Movement","Stable mover - bundle optional","Pair this low-movement item with the suggested anchor"))</f>
        <v/>
      </c>
    </row>
    <row r="70">
      <c r="A70">
        <f>Scoring_Model!A70</f>
        <v/>
      </c>
      <c r="B70">
        <f>Scoring_Model!B70</f>
        <v/>
      </c>
      <c r="C70">
        <f>Scoring_Model!C70</f>
        <v/>
      </c>
      <c r="D70">
        <f>Scoring_Model!K70</f>
        <v/>
      </c>
      <c r="E70">
        <f>Scoring_Model!L70</f>
        <v/>
      </c>
      <c r="F70" s="2">
        <f>Scoring_Model!J70</f>
        <v/>
      </c>
      <c r="G70">
        <f>IF(D70&lt;&gt;"Low Movement","",IFERROR(XLOOKUP(C70&amp;"|anchor",Scoring_Model!$P$2:$P$300,Scoring_Model!$Q$2:$Q$300,INDEX(Scoring_Model!$Q$2:$Q$300,MATCH("Yes",Scoring_Model!$M$2:$M$300,0))),"No anchor found"))</f>
        <v/>
      </c>
      <c r="H70" s="2">
        <f>Scoring_Model!O70</f>
        <v/>
      </c>
      <c r="I70">
        <f>IF(A70="","",IF(D70&lt;&gt;"Low Movement","Stable mover - bundle optional","Pair this low-movement item with the suggested anchor"))</f>
        <v/>
      </c>
    </row>
    <row r="71">
      <c r="A71">
        <f>Scoring_Model!A71</f>
        <v/>
      </c>
      <c r="B71">
        <f>Scoring_Model!B71</f>
        <v/>
      </c>
      <c r="C71">
        <f>Scoring_Model!C71</f>
        <v/>
      </c>
      <c r="D71">
        <f>Scoring_Model!K71</f>
        <v/>
      </c>
      <c r="E71">
        <f>Scoring_Model!L71</f>
        <v/>
      </c>
      <c r="F71" s="2">
        <f>Scoring_Model!J71</f>
        <v/>
      </c>
      <c r="G71">
        <f>IF(D71&lt;&gt;"Low Movement","",IFERROR(XLOOKUP(C71&amp;"|anchor",Scoring_Model!$P$2:$P$300,Scoring_Model!$Q$2:$Q$300,INDEX(Scoring_Model!$Q$2:$Q$300,MATCH("Yes",Scoring_Model!$M$2:$M$300,0))),"No anchor found"))</f>
        <v/>
      </c>
      <c r="H71" s="2">
        <f>Scoring_Model!O71</f>
        <v/>
      </c>
      <c r="I71">
        <f>IF(A71="","",IF(D71&lt;&gt;"Low Movement","Stable mover - bundle optional","Pair this low-movement item with the suggested anchor"))</f>
        <v/>
      </c>
    </row>
    <row r="72">
      <c r="A72">
        <f>Scoring_Model!A72</f>
        <v/>
      </c>
      <c r="B72">
        <f>Scoring_Model!B72</f>
        <v/>
      </c>
      <c r="C72">
        <f>Scoring_Model!C72</f>
        <v/>
      </c>
      <c r="D72">
        <f>Scoring_Model!K72</f>
        <v/>
      </c>
      <c r="E72">
        <f>Scoring_Model!L72</f>
        <v/>
      </c>
      <c r="F72" s="2">
        <f>Scoring_Model!J72</f>
        <v/>
      </c>
      <c r="G72">
        <f>IF(D72&lt;&gt;"Low Movement","",IFERROR(XLOOKUP(C72&amp;"|anchor",Scoring_Model!$P$2:$P$300,Scoring_Model!$Q$2:$Q$300,INDEX(Scoring_Model!$Q$2:$Q$300,MATCH("Yes",Scoring_Model!$M$2:$M$300,0))),"No anchor found"))</f>
        <v/>
      </c>
      <c r="H72" s="2">
        <f>Scoring_Model!O72</f>
        <v/>
      </c>
      <c r="I72">
        <f>IF(A72="","",IF(D72&lt;&gt;"Low Movement","Stable mover - bundle optional","Pair this low-movement item with the suggested anchor"))</f>
        <v/>
      </c>
    </row>
    <row r="73">
      <c r="A73">
        <f>Scoring_Model!A73</f>
        <v/>
      </c>
      <c r="B73">
        <f>Scoring_Model!B73</f>
        <v/>
      </c>
      <c r="C73">
        <f>Scoring_Model!C73</f>
        <v/>
      </c>
      <c r="D73">
        <f>Scoring_Model!K73</f>
        <v/>
      </c>
      <c r="E73">
        <f>Scoring_Model!L73</f>
        <v/>
      </c>
      <c r="F73" s="2">
        <f>Scoring_Model!J73</f>
        <v/>
      </c>
      <c r="G73">
        <f>IF(D73&lt;&gt;"Low Movement","",IFERROR(XLOOKUP(C73&amp;"|anchor",Scoring_Model!$P$2:$P$300,Scoring_Model!$Q$2:$Q$300,INDEX(Scoring_Model!$Q$2:$Q$300,MATCH("Yes",Scoring_Model!$M$2:$M$300,0))),"No anchor found"))</f>
        <v/>
      </c>
      <c r="H73" s="2">
        <f>Scoring_Model!O73</f>
        <v/>
      </c>
      <c r="I73">
        <f>IF(A73="","",IF(D73&lt;&gt;"Low Movement","Stable mover - bundle optional","Pair this low-movement item with the suggested anchor"))</f>
        <v/>
      </c>
    </row>
    <row r="74">
      <c r="A74">
        <f>Scoring_Model!A74</f>
        <v/>
      </c>
      <c r="B74">
        <f>Scoring_Model!B74</f>
        <v/>
      </c>
      <c r="C74">
        <f>Scoring_Model!C74</f>
        <v/>
      </c>
      <c r="D74">
        <f>Scoring_Model!K74</f>
        <v/>
      </c>
      <c r="E74">
        <f>Scoring_Model!L74</f>
        <v/>
      </c>
      <c r="F74" s="2">
        <f>Scoring_Model!J74</f>
        <v/>
      </c>
      <c r="G74">
        <f>IF(D74&lt;&gt;"Low Movement","",IFERROR(XLOOKUP(C74&amp;"|anchor",Scoring_Model!$P$2:$P$300,Scoring_Model!$Q$2:$Q$300,INDEX(Scoring_Model!$Q$2:$Q$300,MATCH("Yes",Scoring_Model!$M$2:$M$300,0))),"No anchor found"))</f>
        <v/>
      </c>
      <c r="H74" s="2">
        <f>Scoring_Model!O74</f>
        <v/>
      </c>
      <c r="I74">
        <f>IF(A74="","",IF(D74&lt;&gt;"Low Movement","Stable mover - bundle optional","Pair this low-movement item with the suggested anchor"))</f>
        <v/>
      </c>
    </row>
    <row r="75">
      <c r="A75">
        <f>Scoring_Model!A75</f>
        <v/>
      </c>
      <c r="B75">
        <f>Scoring_Model!B75</f>
        <v/>
      </c>
      <c r="C75">
        <f>Scoring_Model!C75</f>
        <v/>
      </c>
      <c r="D75">
        <f>Scoring_Model!K75</f>
        <v/>
      </c>
      <c r="E75">
        <f>Scoring_Model!L75</f>
        <v/>
      </c>
      <c r="F75" s="2">
        <f>Scoring_Model!J75</f>
        <v/>
      </c>
      <c r="G75">
        <f>IF(D75&lt;&gt;"Low Movement","",IFERROR(XLOOKUP(C75&amp;"|anchor",Scoring_Model!$P$2:$P$300,Scoring_Model!$Q$2:$Q$300,INDEX(Scoring_Model!$Q$2:$Q$300,MATCH("Yes",Scoring_Model!$M$2:$M$300,0))),"No anchor found"))</f>
        <v/>
      </c>
      <c r="H75" s="2">
        <f>Scoring_Model!O75</f>
        <v/>
      </c>
      <c r="I75">
        <f>IF(A75="","",IF(D75&lt;&gt;"Low Movement","Stable mover - bundle optional","Pair this low-movement item with the suggested anchor"))</f>
        <v/>
      </c>
    </row>
    <row r="76">
      <c r="A76">
        <f>Scoring_Model!A76</f>
        <v/>
      </c>
      <c r="B76">
        <f>Scoring_Model!B76</f>
        <v/>
      </c>
      <c r="C76">
        <f>Scoring_Model!C76</f>
        <v/>
      </c>
      <c r="D76">
        <f>Scoring_Model!K76</f>
        <v/>
      </c>
      <c r="E76">
        <f>Scoring_Model!L76</f>
        <v/>
      </c>
      <c r="F76" s="2">
        <f>Scoring_Model!J76</f>
        <v/>
      </c>
      <c r="G76">
        <f>IF(D76&lt;&gt;"Low Movement","",IFERROR(XLOOKUP(C76&amp;"|anchor",Scoring_Model!$P$2:$P$300,Scoring_Model!$Q$2:$Q$300,INDEX(Scoring_Model!$Q$2:$Q$300,MATCH("Yes",Scoring_Model!$M$2:$M$300,0))),"No anchor found"))</f>
        <v/>
      </c>
      <c r="H76" s="2">
        <f>Scoring_Model!O76</f>
        <v/>
      </c>
      <c r="I76">
        <f>IF(A76="","",IF(D76&lt;&gt;"Low Movement","Stable mover - bundle optional","Pair this low-movement item with the suggested anchor"))</f>
        <v/>
      </c>
    </row>
    <row r="77">
      <c r="A77">
        <f>Scoring_Model!A77</f>
        <v/>
      </c>
      <c r="B77">
        <f>Scoring_Model!B77</f>
        <v/>
      </c>
      <c r="C77">
        <f>Scoring_Model!C77</f>
        <v/>
      </c>
      <c r="D77">
        <f>Scoring_Model!K77</f>
        <v/>
      </c>
      <c r="E77">
        <f>Scoring_Model!L77</f>
        <v/>
      </c>
      <c r="F77" s="2">
        <f>Scoring_Model!J77</f>
        <v/>
      </c>
      <c r="G77">
        <f>IF(D77&lt;&gt;"Low Movement","",IFERROR(XLOOKUP(C77&amp;"|anchor",Scoring_Model!$P$2:$P$300,Scoring_Model!$Q$2:$Q$300,INDEX(Scoring_Model!$Q$2:$Q$300,MATCH("Yes",Scoring_Model!$M$2:$M$300,0))),"No anchor found"))</f>
        <v/>
      </c>
      <c r="H77" s="2">
        <f>Scoring_Model!O77</f>
        <v/>
      </c>
      <c r="I77">
        <f>IF(A77="","",IF(D77&lt;&gt;"Low Movement","Stable mover - bundle optional","Pair this low-movement item with the suggested anchor"))</f>
        <v/>
      </c>
    </row>
    <row r="78">
      <c r="A78">
        <f>Scoring_Model!A78</f>
        <v/>
      </c>
      <c r="B78">
        <f>Scoring_Model!B78</f>
        <v/>
      </c>
      <c r="C78">
        <f>Scoring_Model!C78</f>
        <v/>
      </c>
      <c r="D78">
        <f>Scoring_Model!K78</f>
        <v/>
      </c>
      <c r="E78">
        <f>Scoring_Model!L78</f>
        <v/>
      </c>
      <c r="F78" s="2">
        <f>Scoring_Model!J78</f>
        <v/>
      </c>
      <c r="G78">
        <f>IF(D78&lt;&gt;"Low Movement","",IFERROR(XLOOKUP(C78&amp;"|anchor",Scoring_Model!$P$2:$P$300,Scoring_Model!$Q$2:$Q$300,INDEX(Scoring_Model!$Q$2:$Q$300,MATCH("Yes",Scoring_Model!$M$2:$M$300,0))),"No anchor found"))</f>
        <v/>
      </c>
      <c r="H78" s="2">
        <f>Scoring_Model!O78</f>
        <v/>
      </c>
      <c r="I78">
        <f>IF(A78="","",IF(D78&lt;&gt;"Low Movement","Stable mover - bundle optional","Pair this low-movement item with the suggested anchor"))</f>
        <v/>
      </c>
    </row>
    <row r="79">
      <c r="A79">
        <f>Scoring_Model!A79</f>
        <v/>
      </c>
      <c r="B79">
        <f>Scoring_Model!B79</f>
        <v/>
      </c>
      <c r="C79">
        <f>Scoring_Model!C79</f>
        <v/>
      </c>
      <c r="D79">
        <f>Scoring_Model!K79</f>
        <v/>
      </c>
      <c r="E79">
        <f>Scoring_Model!L79</f>
        <v/>
      </c>
      <c r="F79" s="2">
        <f>Scoring_Model!J79</f>
        <v/>
      </c>
      <c r="G79">
        <f>IF(D79&lt;&gt;"Low Movement","",IFERROR(XLOOKUP(C79&amp;"|anchor",Scoring_Model!$P$2:$P$300,Scoring_Model!$Q$2:$Q$300,INDEX(Scoring_Model!$Q$2:$Q$300,MATCH("Yes",Scoring_Model!$M$2:$M$300,0))),"No anchor found"))</f>
        <v/>
      </c>
      <c r="H79" s="2">
        <f>Scoring_Model!O79</f>
        <v/>
      </c>
      <c r="I79">
        <f>IF(A79="","",IF(D79&lt;&gt;"Low Movement","Stable mover - bundle optional","Pair this low-movement item with the suggested anchor"))</f>
        <v/>
      </c>
    </row>
    <row r="80">
      <c r="A80">
        <f>Scoring_Model!A80</f>
        <v/>
      </c>
      <c r="B80">
        <f>Scoring_Model!B80</f>
        <v/>
      </c>
      <c r="C80">
        <f>Scoring_Model!C80</f>
        <v/>
      </c>
      <c r="D80">
        <f>Scoring_Model!K80</f>
        <v/>
      </c>
      <c r="E80">
        <f>Scoring_Model!L80</f>
        <v/>
      </c>
      <c r="F80" s="2">
        <f>Scoring_Model!J80</f>
        <v/>
      </c>
      <c r="G80">
        <f>IF(D80&lt;&gt;"Low Movement","",IFERROR(XLOOKUP(C80&amp;"|anchor",Scoring_Model!$P$2:$P$300,Scoring_Model!$Q$2:$Q$300,INDEX(Scoring_Model!$Q$2:$Q$300,MATCH("Yes",Scoring_Model!$M$2:$M$300,0))),"No anchor found"))</f>
        <v/>
      </c>
      <c r="H80" s="2">
        <f>Scoring_Model!O80</f>
        <v/>
      </c>
      <c r="I80">
        <f>IF(A80="","",IF(D80&lt;&gt;"Low Movement","Stable mover - bundle optional","Pair this low-movement item with the suggested anchor"))</f>
        <v/>
      </c>
    </row>
    <row r="81">
      <c r="A81">
        <f>Scoring_Model!A81</f>
        <v/>
      </c>
      <c r="B81">
        <f>Scoring_Model!B81</f>
        <v/>
      </c>
      <c r="C81">
        <f>Scoring_Model!C81</f>
        <v/>
      </c>
      <c r="D81">
        <f>Scoring_Model!K81</f>
        <v/>
      </c>
      <c r="E81">
        <f>Scoring_Model!L81</f>
        <v/>
      </c>
      <c r="F81" s="2">
        <f>Scoring_Model!J81</f>
        <v/>
      </c>
      <c r="G81">
        <f>IF(D81&lt;&gt;"Low Movement","",IFERROR(XLOOKUP(C81&amp;"|anchor",Scoring_Model!$P$2:$P$300,Scoring_Model!$Q$2:$Q$300,INDEX(Scoring_Model!$Q$2:$Q$300,MATCH("Yes",Scoring_Model!$M$2:$M$300,0))),"No anchor found"))</f>
        <v/>
      </c>
      <c r="H81" s="2">
        <f>Scoring_Model!O81</f>
        <v/>
      </c>
      <c r="I81">
        <f>IF(A81="","",IF(D81&lt;&gt;"Low Movement","Stable mover - bundle optional","Pair this low-movement item with the suggested anchor"))</f>
        <v/>
      </c>
    </row>
    <row r="82">
      <c r="A82">
        <f>Scoring_Model!A82</f>
        <v/>
      </c>
      <c r="B82">
        <f>Scoring_Model!B82</f>
        <v/>
      </c>
      <c r="C82">
        <f>Scoring_Model!C82</f>
        <v/>
      </c>
      <c r="D82">
        <f>Scoring_Model!K82</f>
        <v/>
      </c>
      <c r="E82">
        <f>Scoring_Model!L82</f>
        <v/>
      </c>
      <c r="F82" s="2">
        <f>Scoring_Model!J82</f>
        <v/>
      </c>
      <c r="G82">
        <f>IF(D82&lt;&gt;"Low Movement","",IFERROR(XLOOKUP(C82&amp;"|anchor",Scoring_Model!$P$2:$P$300,Scoring_Model!$Q$2:$Q$300,INDEX(Scoring_Model!$Q$2:$Q$300,MATCH("Yes",Scoring_Model!$M$2:$M$300,0))),"No anchor found"))</f>
        <v/>
      </c>
      <c r="H82" s="2">
        <f>Scoring_Model!O82</f>
        <v/>
      </c>
      <c r="I82">
        <f>IF(A82="","",IF(D82&lt;&gt;"Low Movement","Stable mover - bundle optional","Pair this low-movement item with the suggested anchor"))</f>
        <v/>
      </c>
    </row>
    <row r="83">
      <c r="A83">
        <f>Scoring_Model!A83</f>
        <v/>
      </c>
      <c r="B83">
        <f>Scoring_Model!B83</f>
        <v/>
      </c>
      <c r="C83">
        <f>Scoring_Model!C83</f>
        <v/>
      </c>
      <c r="D83">
        <f>Scoring_Model!K83</f>
        <v/>
      </c>
      <c r="E83">
        <f>Scoring_Model!L83</f>
        <v/>
      </c>
      <c r="F83" s="2">
        <f>Scoring_Model!J83</f>
        <v/>
      </c>
      <c r="G83">
        <f>IF(D83&lt;&gt;"Low Movement","",IFERROR(XLOOKUP(C83&amp;"|anchor",Scoring_Model!$P$2:$P$300,Scoring_Model!$Q$2:$Q$300,INDEX(Scoring_Model!$Q$2:$Q$300,MATCH("Yes",Scoring_Model!$M$2:$M$300,0))),"No anchor found"))</f>
        <v/>
      </c>
      <c r="H83" s="2">
        <f>Scoring_Model!O83</f>
        <v/>
      </c>
      <c r="I83">
        <f>IF(A83="","",IF(D83&lt;&gt;"Low Movement","Stable mover - bundle optional","Pair this low-movement item with the suggested anchor"))</f>
        <v/>
      </c>
    </row>
    <row r="84">
      <c r="A84">
        <f>Scoring_Model!A84</f>
        <v/>
      </c>
      <c r="B84">
        <f>Scoring_Model!B84</f>
        <v/>
      </c>
      <c r="C84">
        <f>Scoring_Model!C84</f>
        <v/>
      </c>
      <c r="D84">
        <f>Scoring_Model!K84</f>
        <v/>
      </c>
      <c r="E84">
        <f>Scoring_Model!L84</f>
        <v/>
      </c>
      <c r="F84" s="2">
        <f>Scoring_Model!J84</f>
        <v/>
      </c>
      <c r="G84">
        <f>IF(D84&lt;&gt;"Low Movement","",IFERROR(XLOOKUP(C84&amp;"|anchor",Scoring_Model!$P$2:$P$300,Scoring_Model!$Q$2:$Q$300,INDEX(Scoring_Model!$Q$2:$Q$300,MATCH("Yes",Scoring_Model!$M$2:$M$300,0))),"No anchor found"))</f>
        <v/>
      </c>
      <c r="H84" s="2">
        <f>Scoring_Model!O84</f>
        <v/>
      </c>
      <c r="I84">
        <f>IF(A84="","",IF(D84&lt;&gt;"Low Movement","Stable mover - bundle optional","Pair this low-movement item with the suggested anchor"))</f>
        <v/>
      </c>
    </row>
    <row r="85">
      <c r="A85">
        <f>Scoring_Model!A85</f>
        <v/>
      </c>
      <c r="B85">
        <f>Scoring_Model!B85</f>
        <v/>
      </c>
      <c r="C85">
        <f>Scoring_Model!C85</f>
        <v/>
      </c>
      <c r="D85">
        <f>Scoring_Model!K85</f>
        <v/>
      </c>
      <c r="E85">
        <f>Scoring_Model!L85</f>
        <v/>
      </c>
      <c r="F85" s="2">
        <f>Scoring_Model!J85</f>
        <v/>
      </c>
      <c r="G85">
        <f>IF(D85&lt;&gt;"Low Movement","",IFERROR(XLOOKUP(C85&amp;"|anchor",Scoring_Model!$P$2:$P$300,Scoring_Model!$Q$2:$Q$300,INDEX(Scoring_Model!$Q$2:$Q$300,MATCH("Yes",Scoring_Model!$M$2:$M$300,0))),"No anchor found"))</f>
        <v/>
      </c>
      <c r="H85" s="2">
        <f>Scoring_Model!O85</f>
        <v/>
      </c>
      <c r="I85">
        <f>IF(A85="","",IF(D85&lt;&gt;"Low Movement","Stable mover - bundle optional","Pair this low-movement item with the suggested anchor"))</f>
        <v/>
      </c>
    </row>
    <row r="86">
      <c r="A86">
        <f>Scoring_Model!A86</f>
        <v/>
      </c>
      <c r="B86">
        <f>Scoring_Model!B86</f>
        <v/>
      </c>
      <c r="C86">
        <f>Scoring_Model!C86</f>
        <v/>
      </c>
      <c r="D86">
        <f>Scoring_Model!K86</f>
        <v/>
      </c>
      <c r="E86">
        <f>Scoring_Model!L86</f>
        <v/>
      </c>
      <c r="F86" s="2">
        <f>Scoring_Model!J86</f>
        <v/>
      </c>
      <c r="G86">
        <f>IF(D86&lt;&gt;"Low Movement","",IFERROR(XLOOKUP(C86&amp;"|anchor",Scoring_Model!$P$2:$P$300,Scoring_Model!$Q$2:$Q$300,INDEX(Scoring_Model!$Q$2:$Q$300,MATCH("Yes",Scoring_Model!$M$2:$M$300,0))),"No anchor found"))</f>
        <v/>
      </c>
      <c r="H86" s="2">
        <f>Scoring_Model!O86</f>
        <v/>
      </c>
      <c r="I86">
        <f>IF(A86="","",IF(D86&lt;&gt;"Low Movement","Stable mover - bundle optional","Pair this low-movement item with the suggested anchor"))</f>
        <v/>
      </c>
    </row>
    <row r="87">
      <c r="A87">
        <f>Scoring_Model!A87</f>
        <v/>
      </c>
      <c r="B87">
        <f>Scoring_Model!B87</f>
        <v/>
      </c>
      <c r="C87">
        <f>Scoring_Model!C87</f>
        <v/>
      </c>
      <c r="D87">
        <f>Scoring_Model!K87</f>
        <v/>
      </c>
      <c r="E87">
        <f>Scoring_Model!L87</f>
        <v/>
      </c>
      <c r="F87" s="2">
        <f>Scoring_Model!J87</f>
        <v/>
      </c>
      <c r="G87">
        <f>IF(D87&lt;&gt;"Low Movement","",IFERROR(XLOOKUP(C87&amp;"|anchor",Scoring_Model!$P$2:$P$300,Scoring_Model!$Q$2:$Q$300,INDEX(Scoring_Model!$Q$2:$Q$300,MATCH("Yes",Scoring_Model!$M$2:$M$300,0))),"No anchor found"))</f>
        <v/>
      </c>
      <c r="H87" s="2">
        <f>Scoring_Model!O87</f>
        <v/>
      </c>
      <c r="I87">
        <f>IF(A87="","",IF(D87&lt;&gt;"Low Movement","Stable mover - bundle optional","Pair this low-movement item with the suggested anchor"))</f>
        <v/>
      </c>
    </row>
    <row r="88">
      <c r="A88">
        <f>Scoring_Model!A88</f>
        <v/>
      </c>
      <c r="B88">
        <f>Scoring_Model!B88</f>
        <v/>
      </c>
      <c r="C88">
        <f>Scoring_Model!C88</f>
        <v/>
      </c>
      <c r="D88">
        <f>Scoring_Model!K88</f>
        <v/>
      </c>
      <c r="E88">
        <f>Scoring_Model!L88</f>
        <v/>
      </c>
      <c r="F88" s="2">
        <f>Scoring_Model!J88</f>
        <v/>
      </c>
      <c r="G88">
        <f>IF(D88&lt;&gt;"Low Movement","",IFERROR(XLOOKUP(C88&amp;"|anchor",Scoring_Model!$P$2:$P$300,Scoring_Model!$Q$2:$Q$300,INDEX(Scoring_Model!$Q$2:$Q$300,MATCH("Yes",Scoring_Model!$M$2:$M$300,0))),"No anchor found"))</f>
        <v/>
      </c>
      <c r="H88" s="2">
        <f>Scoring_Model!O88</f>
        <v/>
      </c>
      <c r="I88">
        <f>IF(A88="","",IF(D88&lt;&gt;"Low Movement","Stable mover - bundle optional","Pair this low-movement item with the suggested anchor"))</f>
        <v/>
      </c>
    </row>
    <row r="89">
      <c r="A89">
        <f>Scoring_Model!A89</f>
        <v/>
      </c>
      <c r="B89">
        <f>Scoring_Model!B89</f>
        <v/>
      </c>
      <c r="C89">
        <f>Scoring_Model!C89</f>
        <v/>
      </c>
      <c r="D89">
        <f>Scoring_Model!K89</f>
        <v/>
      </c>
      <c r="E89">
        <f>Scoring_Model!L89</f>
        <v/>
      </c>
      <c r="F89" s="2">
        <f>Scoring_Model!J89</f>
        <v/>
      </c>
      <c r="G89">
        <f>IF(D89&lt;&gt;"Low Movement","",IFERROR(XLOOKUP(C89&amp;"|anchor",Scoring_Model!$P$2:$P$300,Scoring_Model!$Q$2:$Q$300,INDEX(Scoring_Model!$Q$2:$Q$300,MATCH("Yes",Scoring_Model!$M$2:$M$300,0))),"No anchor found"))</f>
        <v/>
      </c>
      <c r="H89" s="2">
        <f>Scoring_Model!O89</f>
        <v/>
      </c>
      <c r="I89">
        <f>IF(A89="","",IF(D89&lt;&gt;"Low Movement","Stable mover - bundle optional","Pair this low-movement item with the suggested anchor"))</f>
        <v/>
      </c>
    </row>
    <row r="90">
      <c r="A90">
        <f>Scoring_Model!A90</f>
        <v/>
      </c>
      <c r="B90">
        <f>Scoring_Model!B90</f>
        <v/>
      </c>
      <c r="C90">
        <f>Scoring_Model!C90</f>
        <v/>
      </c>
      <c r="D90">
        <f>Scoring_Model!K90</f>
        <v/>
      </c>
      <c r="E90">
        <f>Scoring_Model!L90</f>
        <v/>
      </c>
      <c r="F90" s="2">
        <f>Scoring_Model!J90</f>
        <v/>
      </c>
      <c r="G90">
        <f>IF(D90&lt;&gt;"Low Movement","",IFERROR(XLOOKUP(C90&amp;"|anchor",Scoring_Model!$P$2:$P$300,Scoring_Model!$Q$2:$Q$300,INDEX(Scoring_Model!$Q$2:$Q$300,MATCH("Yes",Scoring_Model!$M$2:$M$300,0))),"No anchor found"))</f>
        <v/>
      </c>
      <c r="H90" s="2">
        <f>Scoring_Model!O90</f>
        <v/>
      </c>
      <c r="I90">
        <f>IF(A90="","",IF(D90&lt;&gt;"Low Movement","Stable mover - bundle optional","Pair this low-movement item with the suggested anchor"))</f>
        <v/>
      </c>
    </row>
    <row r="91">
      <c r="A91">
        <f>Scoring_Model!A91</f>
        <v/>
      </c>
      <c r="B91">
        <f>Scoring_Model!B91</f>
        <v/>
      </c>
      <c r="C91">
        <f>Scoring_Model!C91</f>
        <v/>
      </c>
      <c r="D91">
        <f>Scoring_Model!K91</f>
        <v/>
      </c>
      <c r="E91">
        <f>Scoring_Model!L91</f>
        <v/>
      </c>
      <c r="F91" s="2">
        <f>Scoring_Model!J91</f>
        <v/>
      </c>
      <c r="G91">
        <f>IF(D91&lt;&gt;"Low Movement","",IFERROR(XLOOKUP(C91&amp;"|anchor",Scoring_Model!$P$2:$P$300,Scoring_Model!$Q$2:$Q$300,INDEX(Scoring_Model!$Q$2:$Q$300,MATCH("Yes",Scoring_Model!$M$2:$M$300,0))),"No anchor found"))</f>
        <v/>
      </c>
      <c r="H91" s="2">
        <f>Scoring_Model!O91</f>
        <v/>
      </c>
      <c r="I91">
        <f>IF(A91="","",IF(D91&lt;&gt;"Low Movement","Stable mover - bundle optional","Pair this low-movement item with the suggested anchor"))</f>
        <v/>
      </c>
    </row>
    <row r="92">
      <c r="A92">
        <f>Scoring_Model!A92</f>
        <v/>
      </c>
      <c r="B92">
        <f>Scoring_Model!B92</f>
        <v/>
      </c>
      <c r="C92">
        <f>Scoring_Model!C92</f>
        <v/>
      </c>
      <c r="D92">
        <f>Scoring_Model!K92</f>
        <v/>
      </c>
      <c r="E92">
        <f>Scoring_Model!L92</f>
        <v/>
      </c>
      <c r="F92" s="2">
        <f>Scoring_Model!J92</f>
        <v/>
      </c>
      <c r="G92">
        <f>IF(D92&lt;&gt;"Low Movement","",IFERROR(XLOOKUP(C92&amp;"|anchor",Scoring_Model!$P$2:$P$300,Scoring_Model!$Q$2:$Q$300,INDEX(Scoring_Model!$Q$2:$Q$300,MATCH("Yes",Scoring_Model!$M$2:$M$300,0))),"No anchor found"))</f>
        <v/>
      </c>
      <c r="H92" s="2">
        <f>Scoring_Model!O92</f>
        <v/>
      </c>
      <c r="I92">
        <f>IF(A92="","",IF(D92&lt;&gt;"Low Movement","Stable mover - bundle optional","Pair this low-movement item with the suggested anchor"))</f>
        <v/>
      </c>
    </row>
    <row r="93">
      <c r="A93">
        <f>Scoring_Model!A93</f>
        <v/>
      </c>
      <c r="B93">
        <f>Scoring_Model!B93</f>
        <v/>
      </c>
      <c r="C93">
        <f>Scoring_Model!C93</f>
        <v/>
      </c>
      <c r="D93">
        <f>Scoring_Model!K93</f>
        <v/>
      </c>
      <c r="E93">
        <f>Scoring_Model!L93</f>
        <v/>
      </c>
      <c r="F93" s="2">
        <f>Scoring_Model!J93</f>
        <v/>
      </c>
      <c r="G93">
        <f>IF(D93&lt;&gt;"Low Movement","",IFERROR(XLOOKUP(C93&amp;"|anchor",Scoring_Model!$P$2:$P$300,Scoring_Model!$Q$2:$Q$300,INDEX(Scoring_Model!$Q$2:$Q$300,MATCH("Yes",Scoring_Model!$M$2:$M$300,0))),"No anchor found"))</f>
        <v/>
      </c>
      <c r="H93" s="2">
        <f>Scoring_Model!O93</f>
        <v/>
      </c>
      <c r="I93">
        <f>IF(A93="","",IF(D93&lt;&gt;"Low Movement","Stable mover - bundle optional","Pair this low-movement item with the suggested anchor"))</f>
        <v/>
      </c>
    </row>
    <row r="94">
      <c r="A94">
        <f>Scoring_Model!A94</f>
        <v/>
      </c>
      <c r="B94">
        <f>Scoring_Model!B94</f>
        <v/>
      </c>
      <c r="C94">
        <f>Scoring_Model!C94</f>
        <v/>
      </c>
      <c r="D94">
        <f>Scoring_Model!K94</f>
        <v/>
      </c>
      <c r="E94">
        <f>Scoring_Model!L94</f>
        <v/>
      </c>
      <c r="F94" s="2">
        <f>Scoring_Model!J94</f>
        <v/>
      </c>
      <c r="G94">
        <f>IF(D94&lt;&gt;"Low Movement","",IFERROR(XLOOKUP(C94&amp;"|anchor",Scoring_Model!$P$2:$P$300,Scoring_Model!$Q$2:$Q$300,INDEX(Scoring_Model!$Q$2:$Q$300,MATCH("Yes",Scoring_Model!$M$2:$M$300,0))),"No anchor found"))</f>
        <v/>
      </c>
      <c r="H94" s="2">
        <f>Scoring_Model!O94</f>
        <v/>
      </c>
      <c r="I94">
        <f>IF(A94="","",IF(D94&lt;&gt;"Low Movement","Stable mover - bundle optional","Pair this low-movement item with the suggested anchor"))</f>
        <v/>
      </c>
    </row>
    <row r="95">
      <c r="A95">
        <f>Scoring_Model!A95</f>
        <v/>
      </c>
      <c r="B95">
        <f>Scoring_Model!B95</f>
        <v/>
      </c>
      <c r="C95">
        <f>Scoring_Model!C95</f>
        <v/>
      </c>
      <c r="D95">
        <f>Scoring_Model!K95</f>
        <v/>
      </c>
      <c r="E95">
        <f>Scoring_Model!L95</f>
        <v/>
      </c>
      <c r="F95" s="2">
        <f>Scoring_Model!J95</f>
        <v/>
      </c>
      <c r="G95">
        <f>IF(D95&lt;&gt;"Low Movement","",IFERROR(XLOOKUP(C95&amp;"|anchor",Scoring_Model!$P$2:$P$300,Scoring_Model!$Q$2:$Q$300,INDEX(Scoring_Model!$Q$2:$Q$300,MATCH("Yes",Scoring_Model!$M$2:$M$300,0))),"No anchor found"))</f>
        <v/>
      </c>
      <c r="H95" s="2">
        <f>Scoring_Model!O95</f>
        <v/>
      </c>
      <c r="I95">
        <f>IF(A95="","",IF(D95&lt;&gt;"Low Movement","Stable mover - bundle optional","Pair this low-movement item with the suggested anchor"))</f>
        <v/>
      </c>
    </row>
    <row r="96">
      <c r="A96">
        <f>Scoring_Model!A96</f>
        <v/>
      </c>
      <c r="B96">
        <f>Scoring_Model!B96</f>
        <v/>
      </c>
      <c r="C96">
        <f>Scoring_Model!C96</f>
        <v/>
      </c>
      <c r="D96">
        <f>Scoring_Model!K96</f>
        <v/>
      </c>
      <c r="E96">
        <f>Scoring_Model!L96</f>
        <v/>
      </c>
      <c r="F96" s="2">
        <f>Scoring_Model!J96</f>
        <v/>
      </c>
      <c r="G96">
        <f>IF(D96&lt;&gt;"Low Movement","",IFERROR(XLOOKUP(C96&amp;"|anchor",Scoring_Model!$P$2:$P$300,Scoring_Model!$Q$2:$Q$300,INDEX(Scoring_Model!$Q$2:$Q$300,MATCH("Yes",Scoring_Model!$M$2:$M$300,0))),"No anchor found"))</f>
        <v/>
      </c>
      <c r="H96" s="2">
        <f>Scoring_Model!O96</f>
        <v/>
      </c>
      <c r="I96">
        <f>IF(A96="","",IF(D96&lt;&gt;"Low Movement","Stable mover - bundle optional","Pair this low-movement item with the suggested anchor"))</f>
        <v/>
      </c>
    </row>
    <row r="97">
      <c r="A97">
        <f>Scoring_Model!A97</f>
        <v/>
      </c>
      <c r="B97">
        <f>Scoring_Model!B97</f>
        <v/>
      </c>
      <c r="C97">
        <f>Scoring_Model!C97</f>
        <v/>
      </c>
      <c r="D97">
        <f>Scoring_Model!K97</f>
        <v/>
      </c>
      <c r="E97">
        <f>Scoring_Model!L97</f>
        <v/>
      </c>
      <c r="F97" s="2">
        <f>Scoring_Model!J97</f>
        <v/>
      </c>
      <c r="G97">
        <f>IF(D97&lt;&gt;"Low Movement","",IFERROR(XLOOKUP(C97&amp;"|anchor",Scoring_Model!$P$2:$P$300,Scoring_Model!$Q$2:$Q$300,INDEX(Scoring_Model!$Q$2:$Q$300,MATCH("Yes",Scoring_Model!$M$2:$M$300,0))),"No anchor found"))</f>
        <v/>
      </c>
      <c r="H97" s="2">
        <f>Scoring_Model!O97</f>
        <v/>
      </c>
      <c r="I97">
        <f>IF(A97="","",IF(D97&lt;&gt;"Low Movement","Stable mover - bundle optional","Pair this low-movement item with the suggested anchor"))</f>
        <v/>
      </c>
    </row>
    <row r="98">
      <c r="A98">
        <f>Scoring_Model!A98</f>
        <v/>
      </c>
      <c r="B98">
        <f>Scoring_Model!B98</f>
        <v/>
      </c>
      <c r="C98">
        <f>Scoring_Model!C98</f>
        <v/>
      </c>
      <c r="D98">
        <f>Scoring_Model!K98</f>
        <v/>
      </c>
      <c r="E98">
        <f>Scoring_Model!L98</f>
        <v/>
      </c>
      <c r="F98" s="2">
        <f>Scoring_Model!J98</f>
        <v/>
      </c>
      <c r="G98">
        <f>IF(D98&lt;&gt;"Low Movement","",IFERROR(XLOOKUP(C98&amp;"|anchor",Scoring_Model!$P$2:$P$300,Scoring_Model!$Q$2:$Q$300,INDEX(Scoring_Model!$Q$2:$Q$300,MATCH("Yes",Scoring_Model!$M$2:$M$300,0))),"No anchor found"))</f>
        <v/>
      </c>
      <c r="H98" s="2">
        <f>Scoring_Model!O98</f>
        <v/>
      </c>
      <c r="I98">
        <f>IF(A98="","",IF(D98&lt;&gt;"Low Movement","Stable mover - bundle optional","Pair this low-movement item with the suggested anchor"))</f>
        <v/>
      </c>
    </row>
    <row r="99">
      <c r="A99">
        <f>Scoring_Model!A99</f>
        <v/>
      </c>
      <c r="B99">
        <f>Scoring_Model!B99</f>
        <v/>
      </c>
      <c r="C99">
        <f>Scoring_Model!C99</f>
        <v/>
      </c>
      <c r="D99">
        <f>Scoring_Model!K99</f>
        <v/>
      </c>
      <c r="E99">
        <f>Scoring_Model!L99</f>
        <v/>
      </c>
      <c r="F99" s="2">
        <f>Scoring_Model!J99</f>
        <v/>
      </c>
      <c r="G99">
        <f>IF(D99&lt;&gt;"Low Movement","",IFERROR(XLOOKUP(C99&amp;"|anchor",Scoring_Model!$P$2:$P$300,Scoring_Model!$Q$2:$Q$300,INDEX(Scoring_Model!$Q$2:$Q$300,MATCH("Yes",Scoring_Model!$M$2:$M$300,0))),"No anchor found"))</f>
        <v/>
      </c>
      <c r="H99" s="2">
        <f>Scoring_Model!O99</f>
        <v/>
      </c>
      <c r="I99">
        <f>IF(A99="","",IF(D99&lt;&gt;"Low Movement","Stable mover - bundle optional","Pair this low-movement item with the suggested anchor"))</f>
        <v/>
      </c>
    </row>
    <row r="100">
      <c r="A100">
        <f>Scoring_Model!A100</f>
        <v/>
      </c>
      <c r="B100">
        <f>Scoring_Model!B100</f>
        <v/>
      </c>
      <c r="C100">
        <f>Scoring_Model!C100</f>
        <v/>
      </c>
      <c r="D100">
        <f>Scoring_Model!K100</f>
        <v/>
      </c>
      <c r="E100">
        <f>Scoring_Model!L100</f>
        <v/>
      </c>
      <c r="F100" s="2">
        <f>Scoring_Model!J100</f>
        <v/>
      </c>
      <c r="G100">
        <f>IF(D100&lt;&gt;"Low Movement","",IFERROR(XLOOKUP(C100&amp;"|anchor",Scoring_Model!$P$2:$P$300,Scoring_Model!$Q$2:$Q$300,INDEX(Scoring_Model!$Q$2:$Q$300,MATCH("Yes",Scoring_Model!$M$2:$M$300,0))),"No anchor found"))</f>
        <v/>
      </c>
      <c r="H100" s="2">
        <f>Scoring_Model!O100</f>
        <v/>
      </c>
      <c r="I100">
        <f>IF(A100="","",IF(D100&lt;&gt;"Low Movement","Stable mover - bundle optional","Pair this low-movement item with the suggested anchor"))</f>
        <v/>
      </c>
    </row>
    <row r="101">
      <c r="A101">
        <f>Scoring_Model!A101</f>
        <v/>
      </c>
      <c r="B101">
        <f>Scoring_Model!B101</f>
        <v/>
      </c>
      <c r="C101">
        <f>Scoring_Model!C101</f>
        <v/>
      </c>
      <c r="D101">
        <f>Scoring_Model!K101</f>
        <v/>
      </c>
      <c r="E101">
        <f>Scoring_Model!L101</f>
        <v/>
      </c>
      <c r="F101" s="2">
        <f>Scoring_Model!J101</f>
        <v/>
      </c>
      <c r="G101">
        <f>IF(D101&lt;&gt;"Low Movement","",IFERROR(XLOOKUP(C101&amp;"|anchor",Scoring_Model!$P$2:$P$300,Scoring_Model!$Q$2:$Q$300,INDEX(Scoring_Model!$Q$2:$Q$300,MATCH("Yes",Scoring_Model!$M$2:$M$300,0))),"No anchor found"))</f>
        <v/>
      </c>
      <c r="H101" s="2">
        <f>Scoring_Model!O101</f>
        <v/>
      </c>
      <c r="I101">
        <f>IF(A101="","",IF(D101&lt;&gt;"Low Movement","Stable mover - bundle optional","Pair this low-movement item with the suggested anchor"))</f>
        <v/>
      </c>
    </row>
    <row r="102">
      <c r="A102">
        <f>Scoring_Model!A102</f>
        <v/>
      </c>
      <c r="B102">
        <f>Scoring_Model!B102</f>
        <v/>
      </c>
      <c r="C102">
        <f>Scoring_Model!C102</f>
        <v/>
      </c>
      <c r="D102">
        <f>Scoring_Model!K102</f>
        <v/>
      </c>
      <c r="E102">
        <f>Scoring_Model!L102</f>
        <v/>
      </c>
      <c r="F102" s="2">
        <f>Scoring_Model!J102</f>
        <v/>
      </c>
      <c r="G102">
        <f>IF(D102&lt;&gt;"Low Movement","",IFERROR(XLOOKUP(C102&amp;"|anchor",Scoring_Model!$P$2:$P$300,Scoring_Model!$Q$2:$Q$300,INDEX(Scoring_Model!$Q$2:$Q$300,MATCH("Yes",Scoring_Model!$M$2:$M$300,0))),"No anchor found"))</f>
        <v/>
      </c>
      <c r="H102" s="2">
        <f>Scoring_Model!O102</f>
        <v/>
      </c>
      <c r="I102">
        <f>IF(A102="","",IF(D102&lt;&gt;"Low Movement","Stable mover - bundle optional","Pair this low-movement item with the suggested anchor"))</f>
        <v/>
      </c>
    </row>
    <row r="103">
      <c r="A103">
        <f>Scoring_Model!A103</f>
        <v/>
      </c>
      <c r="B103">
        <f>Scoring_Model!B103</f>
        <v/>
      </c>
      <c r="C103">
        <f>Scoring_Model!C103</f>
        <v/>
      </c>
      <c r="D103">
        <f>Scoring_Model!K103</f>
        <v/>
      </c>
      <c r="E103">
        <f>Scoring_Model!L103</f>
        <v/>
      </c>
      <c r="F103" s="2">
        <f>Scoring_Model!J103</f>
        <v/>
      </c>
      <c r="G103">
        <f>IF(D103&lt;&gt;"Low Movement","",IFERROR(XLOOKUP(C103&amp;"|anchor",Scoring_Model!$P$2:$P$300,Scoring_Model!$Q$2:$Q$300,INDEX(Scoring_Model!$Q$2:$Q$300,MATCH("Yes",Scoring_Model!$M$2:$M$300,0))),"No anchor found"))</f>
        <v/>
      </c>
      <c r="H103" s="2">
        <f>Scoring_Model!O103</f>
        <v/>
      </c>
      <c r="I103">
        <f>IF(A103="","",IF(D103&lt;&gt;"Low Movement","Stable mover - bundle optional","Pair this low-movement item with the suggested anchor"))</f>
        <v/>
      </c>
    </row>
    <row r="104">
      <c r="A104">
        <f>Scoring_Model!A104</f>
        <v/>
      </c>
      <c r="B104">
        <f>Scoring_Model!B104</f>
        <v/>
      </c>
      <c r="C104">
        <f>Scoring_Model!C104</f>
        <v/>
      </c>
      <c r="D104">
        <f>Scoring_Model!K104</f>
        <v/>
      </c>
      <c r="E104">
        <f>Scoring_Model!L104</f>
        <v/>
      </c>
      <c r="F104" s="2">
        <f>Scoring_Model!J104</f>
        <v/>
      </c>
      <c r="G104">
        <f>IF(D104&lt;&gt;"Low Movement","",IFERROR(XLOOKUP(C104&amp;"|anchor",Scoring_Model!$P$2:$P$300,Scoring_Model!$Q$2:$Q$300,INDEX(Scoring_Model!$Q$2:$Q$300,MATCH("Yes",Scoring_Model!$M$2:$M$300,0))),"No anchor found"))</f>
        <v/>
      </c>
      <c r="H104" s="2">
        <f>Scoring_Model!O104</f>
        <v/>
      </c>
      <c r="I104">
        <f>IF(A104="","",IF(D104&lt;&gt;"Low Movement","Stable mover - bundle optional","Pair this low-movement item with the suggested anchor"))</f>
        <v/>
      </c>
    </row>
    <row r="105">
      <c r="A105">
        <f>Scoring_Model!A105</f>
        <v/>
      </c>
      <c r="B105">
        <f>Scoring_Model!B105</f>
        <v/>
      </c>
      <c r="C105">
        <f>Scoring_Model!C105</f>
        <v/>
      </c>
      <c r="D105">
        <f>Scoring_Model!K105</f>
        <v/>
      </c>
      <c r="E105">
        <f>Scoring_Model!L105</f>
        <v/>
      </c>
      <c r="F105" s="2">
        <f>Scoring_Model!J105</f>
        <v/>
      </c>
      <c r="G105">
        <f>IF(D105&lt;&gt;"Low Movement","",IFERROR(XLOOKUP(C105&amp;"|anchor",Scoring_Model!$P$2:$P$300,Scoring_Model!$Q$2:$Q$300,INDEX(Scoring_Model!$Q$2:$Q$300,MATCH("Yes",Scoring_Model!$M$2:$M$300,0))),"No anchor found"))</f>
        <v/>
      </c>
      <c r="H105" s="2">
        <f>Scoring_Model!O105</f>
        <v/>
      </c>
      <c r="I105">
        <f>IF(A105="","",IF(D105&lt;&gt;"Low Movement","Stable mover - bundle optional","Pair this low-movement item with the suggested anchor"))</f>
        <v/>
      </c>
    </row>
    <row r="106">
      <c r="A106">
        <f>Scoring_Model!A106</f>
        <v/>
      </c>
      <c r="B106">
        <f>Scoring_Model!B106</f>
        <v/>
      </c>
      <c r="C106">
        <f>Scoring_Model!C106</f>
        <v/>
      </c>
      <c r="D106">
        <f>Scoring_Model!K106</f>
        <v/>
      </c>
      <c r="E106">
        <f>Scoring_Model!L106</f>
        <v/>
      </c>
      <c r="F106" s="2">
        <f>Scoring_Model!J106</f>
        <v/>
      </c>
      <c r="G106">
        <f>IF(D106&lt;&gt;"Low Movement","",IFERROR(XLOOKUP(C106&amp;"|anchor",Scoring_Model!$P$2:$P$300,Scoring_Model!$Q$2:$Q$300,INDEX(Scoring_Model!$Q$2:$Q$300,MATCH("Yes",Scoring_Model!$M$2:$M$300,0))),"No anchor found"))</f>
        <v/>
      </c>
      <c r="H106" s="2">
        <f>Scoring_Model!O106</f>
        <v/>
      </c>
      <c r="I106">
        <f>IF(A106="","",IF(D106&lt;&gt;"Low Movement","Stable mover - bundle optional","Pair this low-movement item with the suggested anchor"))</f>
        <v/>
      </c>
    </row>
    <row r="107">
      <c r="A107">
        <f>Scoring_Model!A107</f>
        <v/>
      </c>
      <c r="B107">
        <f>Scoring_Model!B107</f>
        <v/>
      </c>
      <c r="C107">
        <f>Scoring_Model!C107</f>
        <v/>
      </c>
      <c r="D107">
        <f>Scoring_Model!K107</f>
        <v/>
      </c>
      <c r="E107">
        <f>Scoring_Model!L107</f>
        <v/>
      </c>
      <c r="F107" s="2">
        <f>Scoring_Model!J107</f>
        <v/>
      </c>
      <c r="G107">
        <f>IF(D107&lt;&gt;"Low Movement","",IFERROR(XLOOKUP(C107&amp;"|anchor",Scoring_Model!$P$2:$P$300,Scoring_Model!$Q$2:$Q$300,INDEX(Scoring_Model!$Q$2:$Q$300,MATCH("Yes",Scoring_Model!$M$2:$M$300,0))),"No anchor found"))</f>
        <v/>
      </c>
      <c r="H107" s="2">
        <f>Scoring_Model!O107</f>
        <v/>
      </c>
      <c r="I107">
        <f>IF(A107="","",IF(D107&lt;&gt;"Low Movement","Stable mover - bundle optional","Pair this low-movement item with the suggested anchor"))</f>
        <v/>
      </c>
    </row>
    <row r="108">
      <c r="A108">
        <f>Scoring_Model!A108</f>
        <v/>
      </c>
      <c r="B108">
        <f>Scoring_Model!B108</f>
        <v/>
      </c>
      <c r="C108">
        <f>Scoring_Model!C108</f>
        <v/>
      </c>
      <c r="D108">
        <f>Scoring_Model!K108</f>
        <v/>
      </c>
      <c r="E108">
        <f>Scoring_Model!L108</f>
        <v/>
      </c>
      <c r="F108" s="2">
        <f>Scoring_Model!J108</f>
        <v/>
      </c>
      <c r="G108">
        <f>IF(D108&lt;&gt;"Low Movement","",IFERROR(XLOOKUP(C108&amp;"|anchor",Scoring_Model!$P$2:$P$300,Scoring_Model!$Q$2:$Q$300,INDEX(Scoring_Model!$Q$2:$Q$300,MATCH("Yes",Scoring_Model!$M$2:$M$300,0))),"No anchor found"))</f>
        <v/>
      </c>
      <c r="H108" s="2">
        <f>Scoring_Model!O108</f>
        <v/>
      </c>
      <c r="I108">
        <f>IF(A108="","",IF(D108&lt;&gt;"Low Movement","Stable mover - bundle optional","Pair this low-movement item with the suggested anchor"))</f>
        <v/>
      </c>
    </row>
    <row r="109">
      <c r="A109">
        <f>Scoring_Model!A109</f>
        <v/>
      </c>
      <c r="B109">
        <f>Scoring_Model!B109</f>
        <v/>
      </c>
      <c r="C109">
        <f>Scoring_Model!C109</f>
        <v/>
      </c>
      <c r="D109">
        <f>Scoring_Model!K109</f>
        <v/>
      </c>
      <c r="E109">
        <f>Scoring_Model!L109</f>
        <v/>
      </c>
      <c r="F109" s="2">
        <f>Scoring_Model!J109</f>
        <v/>
      </c>
      <c r="G109">
        <f>IF(D109&lt;&gt;"Low Movement","",IFERROR(XLOOKUP(C109&amp;"|anchor",Scoring_Model!$P$2:$P$300,Scoring_Model!$Q$2:$Q$300,INDEX(Scoring_Model!$Q$2:$Q$300,MATCH("Yes",Scoring_Model!$M$2:$M$300,0))),"No anchor found"))</f>
        <v/>
      </c>
      <c r="H109" s="2">
        <f>Scoring_Model!O109</f>
        <v/>
      </c>
      <c r="I109">
        <f>IF(A109="","",IF(D109&lt;&gt;"Low Movement","Stable mover - bundle optional","Pair this low-movement item with the suggested anchor"))</f>
        <v/>
      </c>
    </row>
    <row r="110">
      <c r="A110">
        <f>Scoring_Model!A110</f>
        <v/>
      </c>
      <c r="B110">
        <f>Scoring_Model!B110</f>
        <v/>
      </c>
      <c r="C110">
        <f>Scoring_Model!C110</f>
        <v/>
      </c>
      <c r="D110">
        <f>Scoring_Model!K110</f>
        <v/>
      </c>
      <c r="E110">
        <f>Scoring_Model!L110</f>
        <v/>
      </c>
      <c r="F110" s="2">
        <f>Scoring_Model!J110</f>
        <v/>
      </c>
      <c r="G110">
        <f>IF(D110&lt;&gt;"Low Movement","",IFERROR(XLOOKUP(C110&amp;"|anchor",Scoring_Model!$P$2:$P$300,Scoring_Model!$Q$2:$Q$300,INDEX(Scoring_Model!$Q$2:$Q$300,MATCH("Yes",Scoring_Model!$M$2:$M$300,0))),"No anchor found"))</f>
        <v/>
      </c>
      <c r="H110" s="2">
        <f>Scoring_Model!O110</f>
        <v/>
      </c>
      <c r="I110">
        <f>IF(A110="","",IF(D110&lt;&gt;"Low Movement","Stable mover - bundle optional","Pair this low-movement item with the suggested anchor"))</f>
        <v/>
      </c>
    </row>
    <row r="111">
      <c r="A111">
        <f>Scoring_Model!A111</f>
        <v/>
      </c>
      <c r="B111">
        <f>Scoring_Model!B111</f>
        <v/>
      </c>
      <c r="C111">
        <f>Scoring_Model!C111</f>
        <v/>
      </c>
      <c r="D111">
        <f>Scoring_Model!K111</f>
        <v/>
      </c>
      <c r="E111">
        <f>Scoring_Model!L111</f>
        <v/>
      </c>
      <c r="F111" s="2">
        <f>Scoring_Model!J111</f>
        <v/>
      </c>
      <c r="G111">
        <f>IF(D111&lt;&gt;"Low Movement","",IFERROR(XLOOKUP(C111&amp;"|anchor",Scoring_Model!$P$2:$P$300,Scoring_Model!$Q$2:$Q$300,INDEX(Scoring_Model!$Q$2:$Q$300,MATCH("Yes",Scoring_Model!$M$2:$M$300,0))),"No anchor found"))</f>
        <v/>
      </c>
      <c r="H111" s="2">
        <f>Scoring_Model!O111</f>
        <v/>
      </c>
      <c r="I111">
        <f>IF(A111="","",IF(D111&lt;&gt;"Low Movement","Stable mover - bundle optional","Pair this low-movement item with the suggested anchor"))</f>
        <v/>
      </c>
    </row>
    <row r="112">
      <c r="A112">
        <f>Scoring_Model!A112</f>
        <v/>
      </c>
      <c r="B112">
        <f>Scoring_Model!B112</f>
        <v/>
      </c>
      <c r="C112">
        <f>Scoring_Model!C112</f>
        <v/>
      </c>
      <c r="D112">
        <f>Scoring_Model!K112</f>
        <v/>
      </c>
      <c r="E112">
        <f>Scoring_Model!L112</f>
        <v/>
      </c>
      <c r="F112" s="2">
        <f>Scoring_Model!J112</f>
        <v/>
      </c>
      <c r="G112">
        <f>IF(D112&lt;&gt;"Low Movement","",IFERROR(XLOOKUP(C112&amp;"|anchor",Scoring_Model!$P$2:$P$300,Scoring_Model!$Q$2:$Q$300,INDEX(Scoring_Model!$Q$2:$Q$300,MATCH("Yes",Scoring_Model!$M$2:$M$300,0))),"No anchor found"))</f>
        <v/>
      </c>
      <c r="H112" s="2">
        <f>Scoring_Model!O112</f>
        <v/>
      </c>
      <c r="I112">
        <f>IF(A112="","",IF(D112&lt;&gt;"Low Movement","Stable mover - bundle optional","Pair this low-movement item with the suggested anchor"))</f>
        <v/>
      </c>
    </row>
    <row r="113">
      <c r="A113">
        <f>Scoring_Model!A113</f>
        <v/>
      </c>
      <c r="B113">
        <f>Scoring_Model!B113</f>
        <v/>
      </c>
      <c r="C113">
        <f>Scoring_Model!C113</f>
        <v/>
      </c>
      <c r="D113">
        <f>Scoring_Model!K113</f>
        <v/>
      </c>
      <c r="E113">
        <f>Scoring_Model!L113</f>
        <v/>
      </c>
      <c r="F113" s="2">
        <f>Scoring_Model!J113</f>
        <v/>
      </c>
      <c r="G113">
        <f>IF(D113&lt;&gt;"Low Movement","",IFERROR(XLOOKUP(C113&amp;"|anchor",Scoring_Model!$P$2:$P$300,Scoring_Model!$Q$2:$Q$300,INDEX(Scoring_Model!$Q$2:$Q$300,MATCH("Yes",Scoring_Model!$M$2:$M$300,0))),"No anchor found"))</f>
        <v/>
      </c>
      <c r="H113" s="2">
        <f>Scoring_Model!O113</f>
        <v/>
      </c>
      <c r="I113">
        <f>IF(A113="","",IF(D113&lt;&gt;"Low Movement","Stable mover - bundle optional","Pair this low-movement item with the suggested anchor"))</f>
        <v/>
      </c>
    </row>
    <row r="114">
      <c r="A114">
        <f>Scoring_Model!A114</f>
        <v/>
      </c>
      <c r="B114">
        <f>Scoring_Model!B114</f>
        <v/>
      </c>
      <c r="C114">
        <f>Scoring_Model!C114</f>
        <v/>
      </c>
      <c r="D114">
        <f>Scoring_Model!K114</f>
        <v/>
      </c>
      <c r="E114">
        <f>Scoring_Model!L114</f>
        <v/>
      </c>
      <c r="F114" s="2">
        <f>Scoring_Model!J114</f>
        <v/>
      </c>
      <c r="G114">
        <f>IF(D114&lt;&gt;"Low Movement","",IFERROR(XLOOKUP(C114&amp;"|anchor",Scoring_Model!$P$2:$P$300,Scoring_Model!$Q$2:$Q$300,INDEX(Scoring_Model!$Q$2:$Q$300,MATCH("Yes",Scoring_Model!$M$2:$M$300,0))),"No anchor found"))</f>
        <v/>
      </c>
      <c r="H114" s="2">
        <f>Scoring_Model!O114</f>
        <v/>
      </c>
      <c r="I114">
        <f>IF(A114="","",IF(D114&lt;&gt;"Low Movement","Stable mover - bundle optional","Pair this low-movement item with the suggested anchor"))</f>
        <v/>
      </c>
    </row>
    <row r="115">
      <c r="A115">
        <f>Scoring_Model!A115</f>
        <v/>
      </c>
      <c r="B115">
        <f>Scoring_Model!B115</f>
        <v/>
      </c>
      <c r="C115">
        <f>Scoring_Model!C115</f>
        <v/>
      </c>
      <c r="D115">
        <f>Scoring_Model!K115</f>
        <v/>
      </c>
      <c r="E115">
        <f>Scoring_Model!L115</f>
        <v/>
      </c>
      <c r="F115" s="2">
        <f>Scoring_Model!J115</f>
        <v/>
      </c>
      <c r="G115">
        <f>IF(D115&lt;&gt;"Low Movement","",IFERROR(XLOOKUP(C115&amp;"|anchor",Scoring_Model!$P$2:$P$300,Scoring_Model!$Q$2:$Q$300,INDEX(Scoring_Model!$Q$2:$Q$300,MATCH("Yes",Scoring_Model!$M$2:$M$300,0))),"No anchor found"))</f>
        <v/>
      </c>
      <c r="H115" s="2">
        <f>Scoring_Model!O115</f>
        <v/>
      </c>
      <c r="I115">
        <f>IF(A115="","",IF(D115&lt;&gt;"Low Movement","Stable mover - bundle optional","Pair this low-movement item with the suggested anchor"))</f>
        <v/>
      </c>
    </row>
    <row r="116">
      <c r="A116">
        <f>Scoring_Model!A116</f>
        <v/>
      </c>
      <c r="B116">
        <f>Scoring_Model!B116</f>
        <v/>
      </c>
      <c r="C116">
        <f>Scoring_Model!C116</f>
        <v/>
      </c>
      <c r="D116">
        <f>Scoring_Model!K116</f>
        <v/>
      </c>
      <c r="E116">
        <f>Scoring_Model!L116</f>
        <v/>
      </c>
      <c r="F116" s="2">
        <f>Scoring_Model!J116</f>
        <v/>
      </c>
      <c r="G116">
        <f>IF(D116&lt;&gt;"Low Movement","",IFERROR(XLOOKUP(C116&amp;"|anchor",Scoring_Model!$P$2:$P$300,Scoring_Model!$Q$2:$Q$300,INDEX(Scoring_Model!$Q$2:$Q$300,MATCH("Yes",Scoring_Model!$M$2:$M$300,0))),"No anchor found"))</f>
        <v/>
      </c>
      <c r="H116" s="2">
        <f>Scoring_Model!O116</f>
        <v/>
      </c>
      <c r="I116">
        <f>IF(A116="","",IF(D116&lt;&gt;"Low Movement","Stable mover - bundle optional","Pair this low-movement item with the suggested anchor"))</f>
        <v/>
      </c>
    </row>
    <row r="117">
      <c r="A117">
        <f>Scoring_Model!A117</f>
        <v/>
      </c>
      <c r="B117">
        <f>Scoring_Model!B117</f>
        <v/>
      </c>
      <c r="C117">
        <f>Scoring_Model!C117</f>
        <v/>
      </c>
      <c r="D117">
        <f>Scoring_Model!K117</f>
        <v/>
      </c>
      <c r="E117">
        <f>Scoring_Model!L117</f>
        <v/>
      </c>
      <c r="F117" s="2">
        <f>Scoring_Model!J117</f>
        <v/>
      </c>
      <c r="G117">
        <f>IF(D117&lt;&gt;"Low Movement","",IFERROR(XLOOKUP(C117&amp;"|anchor",Scoring_Model!$P$2:$P$300,Scoring_Model!$Q$2:$Q$300,INDEX(Scoring_Model!$Q$2:$Q$300,MATCH("Yes",Scoring_Model!$M$2:$M$300,0))),"No anchor found"))</f>
        <v/>
      </c>
      <c r="H117" s="2">
        <f>Scoring_Model!O117</f>
        <v/>
      </c>
      <c r="I117">
        <f>IF(A117="","",IF(D117&lt;&gt;"Low Movement","Stable mover - bundle optional","Pair this low-movement item with the suggested anchor"))</f>
        <v/>
      </c>
    </row>
    <row r="118">
      <c r="A118">
        <f>Scoring_Model!A118</f>
        <v/>
      </c>
      <c r="B118">
        <f>Scoring_Model!B118</f>
        <v/>
      </c>
      <c r="C118">
        <f>Scoring_Model!C118</f>
        <v/>
      </c>
      <c r="D118">
        <f>Scoring_Model!K118</f>
        <v/>
      </c>
      <c r="E118">
        <f>Scoring_Model!L118</f>
        <v/>
      </c>
      <c r="F118" s="2">
        <f>Scoring_Model!J118</f>
        <v/>
      </c>
      <c r="G118">
        <f>IF(D118&lt;&gt;"Low Movement","",IFERROR(XLOOKUP(C118&amp;"|anchor",Scoring_Model!$P$2:$P$300,Scoring_Model!$Q$2:$Q$300,INDEX(Scoring_Model!$Q$2:$Q$300,MATCH("Yes",Scoring_Model!$M$2:$M$300,0))),"No anchor found"))</f>
        <v/>
      </c>
      <c r="H118" s="2">
        <f>Scoring_Model!O118</f>
        <v/>
      </c>
      <c r="I118">
        <f>IF(A118="","",IF(D118&lt;&gt;"Low Movement","Stable mover - bundle optional","Pair this low-movement item with the suggested anchor"))</f>
        <v/>
      </c>
    </row>
    <row r="119">
      <c r="A119">
        <f>Scoring_Model!A119</f>
        <v/>
      </c>
      <c r="B119">
        <f>Scoring_Model!B119</f>
        <v/>
      </c>
      <c r="C119">
        <f>Scoring_Model!C119</f>
        <v/>
      </c>
      <c r="D119">
        <f>Scoring_Model!K119</f>
        <v/>
      </c>
      <c r="E119">
        <f>Scoring_Model!L119</f>
        <v/>
      </c>
      <c r="F119" s="2">
        <f>Scoring_Model!J119</f>
        <v/>
      </c>
      <c r="G119">
        <f>IF(D119&lt;&gt;"Low Movement","",IFERROR(XLOOKUP(C119&amp;"|anchor",Scoring_Model!$P$2:$P$300,Scoring_Model!$Q$2:$Q$300,INDEX(Scoring_Model!$Q$2:$Q$300,MATCH("Yes",Scoring_Model!$M$2:$M$300,0))),"No anchor found"))</f>
        <v/>
      </c>
      <c r="H119" s="2">
        <f>Scoring_Model!O119</f>
        <v/>
      </c>
      <c r="I119">
        <f>IF(A119="","",IF(D119&lt;&gt;"Low Movement","Stable mover - bundle optional","Pair this low-movement item with the suggested anchor"))</f>
        <v/>
      </c>
    </row>
    <row r="120">
      <c r="A120">
        <f>Scoring_Model!A120</f>
        <v/>
      </c>
      <c r="B120">
        <f>Scoring_Model!B120</f>
        <v/>
      </c>
      <c r="C120">
        <f>Scoring_Model!C120</f>
        <v/>
      </c>
      <c r="D120">
        <f>Scoring_Model!K120</f>
        <v/>
      </c>
      <c r="E120">
        <f>Scoring_Model!L120</f>
        <v/>
      </c>
      <c r="F120" s="2">
        <f>Scoring_Model!J120</f>
        <v/>
      </c>
      <c r="G120">
        <f>IF(D120&lt;&gt;"Low Movement","",IFERROR(XLOOKUP(C120&amp;"|anchor",Scoring_Model!$P$2:$P$300,Scoring_Model!$Q$2:$Q$300,INDEX(Scoring_Model!$Q$2:$Q$300,MATCH("Yes",Scoring_Model!$M$2:$M$300,0))),"No anchor found"))</f>
        <v/>
      </c>
      <c r="H120" s="2">
        <f>Scoring_Model!O120</f>
        <v/>
      </c>
      <c r="I120">
        <f>IF(A120="","",IF(D120&lt;&gt;"Low Movement","Stable mover - bundle optional","Pair this low-movement item with the suggested anchor"))</f>
        <v/>
      </c>
    </row>
    <row r="121">
      <c r="A121">
        <f>Scoring_Model!A121</f>
        <v/>
      </c>
      <c r="B121">
        <f>Scoring_Model!B121</f>
        <v/>
      </c>
      <c r="C121">
        <f>Scoring_Model!C121</f>
        <v/>
      </c>
      <c r="D121">
        <f>Scoring_Model!K121</f>
        <v/>
      </c>
      <c r="E121">
        <f>Scoring_Model!L121</f>
        <v/>
      </c>
      <c r="F121" s="2">
        <f>Scoring_Model!J121</f>
        <v/>
      </c>
      <c r="G121">
        <f>IF(D121&lt;&gt;"Low Movement","",IFERROR(XLOOKUP(C121&amp;"|anchor",Scoring_Model!$P$2:$P$300,Scoring_Model!$Q$2:$Q$300,INDEX(Scoring_Model!$Q$2:$Q$300,MATCH("Yes",Scoring_Model!$M$2:$M$300,0))),"No anchor found"))</f>
        <v/>
      </c>
      <c r="H121" s="2">
        <f>Scoring_Model!O121</f>
        <v/>
      </c>
      <c r="I121">
        <f>IF(A121="","",IF(D121&lt;&gt;"Low Movement","Stable mover - bundle optional","Pair this low-movement item with the suggested anchor"))</f>
        <v/>
      </c>
    </row>
    <row r="122">
      <c r="A122">
        <f>Scoring_Model!A122</f>
        <v/>
      </c>
      <c r="B122">
        <f>Scoring_Model!B122</f>
        <v/>
      </c>
      <c r="C122">
        <f>Scoring_Model!C122</f>
        <v/>
      </c>
      <c r="D122">
        <f>Scoring_Model!K122</f>
        <v/>
      </c>
      <c r="E122">
        <f>Scoring_Model!L122</f>
        <v/>
      </c>
      <c r="F122" s="2">
        <f>Scoring_Model!J122</f>
        <v/>
      </c>
      <c r="G122">
        <f>IF(D122&lt;&gt;"Low Movement","",IFERROR(XLOOKUP(C122&amp;"|anchor",Scoring_Model!$P$2:$P$300,Scoring_Model!$Q$2:$Q$300,INDEX(Scoring_Model!$Q$2:$Q$300,MATCH("Yes",Scoring_Model!$M$2:$M$300,0))),"No anchor found"))</f>
        <v/>
      </c>
      <c r="H122" s="2">
        <f>Scoring_Model!O122</f>
        <v/>
      </c>
      <c r="I122">
        <f>IF(A122="","",IF(D122&lt;&gt;"Low Movement","Stable mover - bundle optional","Pair this low-movement item with the suggested anchor"))</f>
        <v/>
      </c>
    </row>
    <row r="123">
      <c r="A123">
        <f>Scoring_Model!A123</f>
        <v/>
      </c>
      <c r="B123">
        <f>Scoring_Model!B123</f>
        <v/>
      </c>
      <c r="C123">
        <f>Scoring_Model!C123</f>
        <v/>
      </c>
      <c r="D123">
        <f>Scoring_Model!K123</f>
        <v/>
      </c>
      <c r="E123">
        <f>Scoring_Model!L123</f>
        <v/>
      </c>
      <c r="F123" s="2">
        <f>Scoring_Model!J123</f>
        <v/>
      </c>
      <c r="G123">
        <f>IF(D123&lt;&gt;"Low Movement","",IFERROR(XLOOKUP(C123&amp;"|anchor",Scoring_Model!$P$2:$P$300,Scoring_Model!$Q$2:$Q$300,INDEX(Scoring_Model!$Q$2:$Q$300,MATCH("Yes",Scoring_Model!$M$2:$M$300,0))),"No anchor found"))</f>
        <v/>
      </c>
      <c r="H123" s="2">
        <f>Scoring_Model!O123</f>
        <v/>
      </c>
      <c r="I123">
        <f>IF(A123="","",IF(D123&lt;&gt;"Low Movement","Stable mover - bundle optional","Pair this low-movement item with the suggested anchor"))</f>
        <v/>
      </c>
    </row>
    <row r="124">
      <c r="A124">
        <f>Scoring_Model!A124</f>
        <v/>
      </c>
      <c r="B124">
        <f>Scoring_Model!B124</f>
        <v/>
      </c>
      <c r="C124">
        <f>Scoring_Model!C124</f>
        <v/>
      </c>
      <c r="D124">
        <f>Scoring_Model!K124</f>
        <v/>
      </c>
      <c r="E124">
        <f>Scoring_Model!L124</f>
        <v/>
      </c>
      <c r="F124" s="2">
        <f>Scoring_Model!J124</f>
        <v/>
      </c>
      <c r="G124">
        <f>IF(D124&lt;&gt;"Low Movement","",IFERROR(XLOOKUP(C124&amp;"|anchor",Scoring_Model!$P$2:$P$300,Scoring_Model!$Q$2:$Q$300,INDEX(Scoring_Model!$Q$2:$Q$300,MATCH("Yes",Scoring_Model!$M$2:$M$300,0))),"No anchor found"))</f>
        <v/>
      </c>
      <c r="H124" s="2">
        <f>Scoring_Model!O124</f>
        <v/>
      </c>
      <c r="I124">
        <f>IF(A124="","",IF(D124&lt;&gt;"Low Movement","Stable mover - bundle optional","Pair this low-movement item with the suggested anchor"))</f>
        <v/>
      </c>
    </row>
    <row r="125">
      <c r="A125">
        <f>Scoring_Model!A125</f>
        <v/>
      </c>
      <c r="B125">
        <f>Scoring_Model!B125</f>
        <v/>
      </c>
      <c r="C125">
        <f>Scoring_Model!C125</f>
        <v/>
      </c>
      <c r="D125">
        <f>Scoring_Model!K125</f>
        <v/>
      </c>
      <c r="E125">
        <f>Scoring_Model!L125</f>
        <v/>
      </c>
      <c r="F125" s="2">
        <f>Scoring_Model!J125</f>
        <v/>
      </c>
      <c r="G125">
        <f>IF(D125&lt;&gt;"Low Movement","",IFERROR(XLOOKUP(C125&amp;"|anchor",Scoring_Model!$P$2:$P$300,Scoring_Model!$Q$2:$Q$300,INDEX(Scoring_Model!$Q$2:$Q$300,MATCH("Yes",Scoring_Model!$M$2:$M$300,0))),"No anchor found"))</f>
        <v/>
      </c>
      <c r="H125" s="2">
        <f>Scoring_Model!O125</f>
        <v/>
      </c>
      <c r="I125">
        <f>IF(A125="","",IF(D125&lt;&gt;"Low Movement","Stable mover - bundle optional","Pair this low-movement item with the suggested anchor"))</f>
        <v/>
      </c>
    </row>
    <row r="126">
      <c r="A126">
        <f>Scoring_Model!A126</f>
        <v/>
      </c>
      <c r="B126">
        <f>Scoring_Model!B126</f>
        <v/>
      </c>
      <c r="C126">
        <f>Scoring_Model!C126</f>
        <v/>
      </c>
      <c r="D126">
        <f>Scoring_Model!K126</f>
        <v/>
      </c>
      <c r="E126">
        <f>Scoring_Model!L126</f>
        <v/>
      </c>
      <c r="F126" s="2">
        <f>Scoring_Model!J126</f>
        <v/>
      </c>
      <c r="G126">
        <f>IF(D126&lt;&gt;"Low Movement","",IFERROR(XLOOKUP(C126&amp;"|anchor",Scoring_Model!$P$2:$P$300,Scoring_Model!$Q$2:$Q$300,INDEX(Scoring_Model!$Q$2:$Q$300,MATCH("Yes",Scoring_Model!$M$2:$M$300,0))),"No anchor found"))</f>
        <v/>
      </c>
      <c r="H126" s="2">
        <f>Scoring_Model!O126</f>
        <v/>
      </c>
      <c r="I126">
        <f>IF(A126="","",IF(D126&lt;&gt;"Low Movement","Stable mover - bundle optional","Pair this low-movement item with the suggested anchor"))</f>
        <v/>
      </c>
    </row>
    <row r="127">
      <c r="A127">
        <f>Scoring_Model!A127</f>
        <v/>
      </c>
      <c r="B127">
        <f>Scoring_Model!B127</f>
        <v/>
      </c>
      <c r="C127">
        <f>Scoring_Model!C127</f>
        <v/>
      </c>
      <c r="D127">
        <f>Scoring_Model!K127</f>
        <v/>
      </c>
      <c r="E127">
        <f>Scoring_Model!L127</f>
        <v/>
      </c>
      <c r="F127" s="2">
        <f>Scoring_Model!J127</f>
        <v/>
      </c>
      <c r="G127">
        <f>IF(D127&lt;&gt;"Low Movement","",IFERROR(XLOOKUP(C127&amp;"|anchor",Scoring_Model!$P$2:$P$300,Scoring_Model!$Q$2:$Q$300,INDEX(Scoring_Model!$Q$2:$Q$300,MATCH("Yes",Scoring_Model!$M$2:$M$300,0))),"No anchor found"))</f>
        <v/>
      </c>
      <c r="H127" s="2">
        <f>Scoring_Model!O127</f>
        <v/>
      </c>
      <c r="I127">
        <f>IF(A127="","",IF(D127&lt;&gt;"Low Movement","Stable mover - bundle optional","Pair this low-movement item with the suggested anchor"))</f>
        <v/>
      </c>
    </row>
    <row r="128">
      <c r="A128">
        <f>Scoring_Model!A128</f>
        <v/>
      </c>
      <c r="B128">
        <f>Scoring_Model!B128</f>
        <v/>
      </c>
      <c r="C128">
        <f>Scoring_Model!C128</f>
        <v/>
      </c>
      <c r="D128">
        <f>Scoring_Model!K128</f>
        <v/>
      </c>
      <c r="E128">
        <f>Scoring_Model!L128</f>
        <v/>
      </c>
      <c r="F128" s="2">
        <f>Scoring_Model!J128</f>
        <v/>
      </c>
      <c r="G128">
        <f>IF(D128&lt;&gt;"Low Movement","",IFERROR(XLOOKUP(C128&amp;"|anchor",Scoring_Model!$P$2:$P$300,Scoring_Model!$Q$2:$Q$300,INDEX(Scoring_Model!$Q$2:$Q$300,MATCH("Yes",Scoring_Model!$M$2:$M$300,0))),"No anchor found"))</f>
        <v/>
      </c>
      <c r="H128" s="2">
        <f>Scoring_Model!O128</f>
        <v/>
      </c>
      <c r="I128">
        <f>IF(A128="","",IF(D128&lt;&gt;"Low Movement","Stable mover - bundle optional","Pair this low-movement item with the suggested anchor"))</f>
        <v/>
      </c>
    </row>
    <row r="129">
      <c r="A129">
        <f>Scoring_Model!A129</f>
        <v/>
      </c>
      <c r="B129">
        <f>Scoring_Model!B129</f>
        <v/>
      </c>
      <c r="C129">
        <f>Scoring_Model!C129</f>
        <v/>
      </c>
      <c r="D129">
        <f>Scoring_Model!K129</f>
        <v/>
      </c>
      <c r="E129">
        <f>Scoring_Model!L129</f>
        <v/>
      </c>
      <c r="F129" s="2">
        <f>Scoring_Model!J129</f>
        <v/>
      </c>
      <c r="G129">
        <f>IF(D129&lt;&gt;"Low Movement","",IFERROR(XLOOKUP(C129&amp;"|anchor",Scoring_Model!$P$2:$P$300,Scoring_Model!$Q$2:$Q$300,INDEX(Scoring_Model!$Q$2:$Q$300,MATCH("Yes",Scoring_Model!$M$2:$M$300,0))),"No anchor found"))</f>
        <v/>
      </c>
      <c r="H129" s="2">
        <f>Scoring_Model!O129</f>
        <v/>
      </c>
      <c r="I129">
        <f>IF(A129="","",IF(D129&lt;&gt;"Low Movement","Stable mover - bundle optional","Pair this low-movement item with the suggested anchor"))</f>
        <v/>
      </c>
    </row>
    <row r="130">
      <c r="A130">
        <f>Scoring_Model!A130</f>
        <v/>
      </c>
      <c r="B130">
        <f>Scoring_Model!B130</f>
        <v/>
      </c>
      <c r="C130">
        <f>Scoring_Model!C130</f>
        <v/>
      </c>
      <c r="D130">
        <f>Scoring_Model!K130</f>
        <v/>
      </c>
      <c r="E130">
        <f>Scoring_Model!L130</f>
        <v/>
      </c>
      <c r="F130" s="2">
        <f>Scoring_Model!J130</f>
        <v/>
      </c>
      <c r="G130">
        <f>IF(D130&lt;&gt;"Low Movement","",IFERROR(XLOOKUP(C130&amp;"|anchor",Scoring_Model!$P$2:$P$300,Scoring_Model!$Q$2:$Q$300,INDEX(Scoring_Model!$Q$2:$Q$300,MATCH("Yes",Scoring_Model!$M$2:$M$300,0))),"No anchor found"))</f>
        <v/>
      </c>
      <c r="H130" s="2">
        <f>Scoring_Model!O130</f>
        <v/>
      </c>
      <c r="I130">
        <f>IF(A130="","",IF(D130&lt;&gt;"Low Movement","Stable mover - bundle optional","Pair this low-movement item with the suggested anchor"))</f>
        <v/>
      </c>
    </row>
    <row r="131">
      <c r="A131">
        <f>Scoring_Model!A131</f>
        <v/>
      </c>
      <c r="B131">
        <f>Scoring_Model!B131</f>
        <v/>
      </c>
      <c r="C131">
        <f>Scoring_Model!C131</f>
        <v/>
      </c>
      <c r="D131">
        <f>Scoring_Model!K131</f>
        <v/>
      </c>
      <c r="E131">
        <f>Scoring_Model!L131</f>
        <v/>
      </c>
      <c r="F131" s="2">
        <f>Scoring_Model!J131</f>
        <v/>
      </c>
      <c r="G131">
        <f>IF(D131&lt;&gt;"Low Movement","",IFERROR(XLOOKUP(C131&amp;"|anchor",Scoring_Model!$P$2:$P$300,Scoring_Model!$Q$2:$Q$300,INDEX(Scoring_Model!$Q$2:$Q$300,MATCH("Yes",Scoring_Model!$M$2:$M$300,0))),"No anchor found"))</f>
        <v/>
      </c>
      <c r="H131" s="2">
        <f>Scoring_Model!O131</f>
        <v/>
      </c>
      <c r="I131">
        <f>IF(A131="","",IF(D131&lt;&gt;"Low Movement","Stable mover - bundle optional","Pair this low-movement item with the suggested anchor"))</f>
        <v/>
      </c>
    </row>
    <row r="132">
      <c r="A132">
        <f>Scoring_Model!A132</f>
        <v/>
      </c>
      <c r="B132">
        <f>Scoring_Model!B132</f>
        <v/>
      </c>
      <c r="C132">
        <f>Scoring_Model!C132</f>
        <v/>
      </c>
      <c r="D132">
        <f>Scoring_Model!K132</f>
        <v/>
      </c>
      <c r="E132">
        <f>Scoring_Model!L132</f>
        <v/>
      </c>
      <c r="F132" s="2">
        <f>Scoring_Model!J132</f>
        <v/>
      </c>
      <c r="G132">
        <f>IF(D132&lt;&gt;"Low Movement","",IFERROR(XLOOKUP(C132&amp;"|anchor",Scoring_Model!$P$2:$P$300,Scoring_Model!$Q$2:$Q$300,INDEX(Scoring_Model!$Q$2:$Q$300,MATCH("Yes",Scoring_Model!$M$2:$M$300,0))),"No anchor found"))</f>
        <v/>
      </c>
      <c r="H132" s="2">
        <f>Scoring_Model!O132</f>
        <v/>
      </c>
      <c r="I132">
        <f>IF(A132="","",IF(D132&lt;&gt;"Low Movement","Stable mover - bundle optional","Pair this low-movement item with the suggested anchor"))</f>
        <v/>
      </c>
    </row>
    <row r="133">
      <c r="A133">
        <f>Scoring_Model!A133</f>
        <v/>
      </c>
      <c r="B133">
        <f>Scoring_Model!B133</f>
        <v/>
      </c>
      <c r="C133">
        <f>Scoring_Model!C133</f>
        <v/>
      </c>
      <c r="D133">
        <f>Scoring_Model!K133</f>
        <v/>
      </c>
      <c r="E133">
        <f>Scoring_Model!L133</f>
        <v/>
      </c>
      <c r="F133" s="2">
        <f>Scoring_Model!J133</f>
        <v/>
      </c>
      <c r="G133">
        <f>IF(D133&lt;&gt;"Low Movement","",IFERROR(XLOOKUP(C133&amp;"|anchor",Scoring_Model!$P$2:$P$300,Scoring_Model!$Q$2:$Q$300,INDEX(Scoring_Model!$Q$2:$Q$300,MATCH("Yes",Scoring_Model!$M$2:$M$300,0))),"No anchor found"))</f>
        <v/>
      </c>
      <c r="H133" s="2">
        <f>Scoring_Model!O133</f>
        <v/>
      </c>
      <c r="I133">
        <f>IF(A133="","",IF(D133&lt;&gt;"Low Movement","Stable mover - bundle optional","Pair this low-movement item with the suggested anchor"))</f>
        <v/>
      </c>
    </row>
    <row r="134">
      <c r="A134">
        <f>Scoring_Model!A134</f>
        <v/>
      </c>
      <c r="B134">
        <f>Scoring_Model!B134</f>
        <v/>
      </c>
      <c r="C134">
        <f>Scoring_Model!C134</f>
        <v/>
      </c>
      <c r="D134">
        <f>Scoring_Model!K134</f>
        <v/>
      </c>
      <c r="E134">
        <f>Scoring_Model!L134</f>
        <v/>
      </c>
      <c r="F134" s="2">
        <f>Scoring_Model!J134</f>
        <v/>
      </c>
      <c r="G134">
        <f>IF(D134&lt;&gt;"Low Movement","",IFERROR(XLOOKUP(C134&amp;"|anchor",Scoring_Model!$P$2:$P$300,Scoring_Model!$Q$2:$Q$300,INDEX(Scoring_Model!$Q$2:$Q$300,MATCH("Yes",Scoring_Model!$M$2:$M$300,0))),"No anchor found"))</f>
        <v/>
      </c>
      <c r="H134" s="2">
        <f>Scoring_Model!O134</f>
        <v/>
      </c>
      <c r="I134">
        <f>IF(A134="","",IF(D134&lt;&gt;"Low Movement","Stable mover - bundle optional","Pair this low-movement item with the suggested anchor"))</f>
        <v/>
      </c>
    </row>
    <row r="135">
      <c r="A135">
        <f>Scoring_Model!A135</f>
        <v/>
      </c>
      <c r="B135">
        <f>Scoring_Model!B135</f>
        <v/>
      </c>
      <c r="C135">
        <f>Scoring_Model!C135</f>
        <v/>
      </c>
      <c r="D135">
        <f>Scoring_Model!K135</f>
        <v/>
      </c>
      <c r="E135">
        <f>Scoring_Model!L135</f>
        <v/>
      </c>
      <c r="F135" s="2">
        <f>Scoring_Model!J135</f>
        <v/>
      </c>
      <c r="G135">
        <f>IF(D135&lt;&gt;"Low Movement","",IFERROR(XLOOKUP(C135&amp;"|anchor",Scoring_Model!$P$2:$P$300,Scoring_Model!$Q$2:$Q$300,INDEX(Scoring_Model!$Q$2:$Q$300,MATCH("Yes",Scoring_Model!$M$2:$M$300,0))),"No anchor found"))</f>
        <v/>
      </c>
      <c r="H135" s="2">
        <f>Scoring_Model!O135</f>
        <v/>
      </c>
      <c r="I135">
        <f>IF(A135="","",IF(D135&lt;&gt;"Low Movement","Stable mover - bundle optional","Pair this low-movement item with the suggested anchor"))</f>
        <v/>
      </c>
    </row>
    <row r="136">
      <c r="A136">
        <f>Scoring_Model!A136</f>
        <v/>
      </c>
      <c r="B136">
        <f>Scoring_Model!B136</f>
        <v/>
      </c>
      <c r="C136">
        <f>Scoring_Model!C136</f>
        <v/>
      </c>
      <c r="D136">
        <f>Scoring_Model!K136</f>
        <v/>
      </c>
      <c r="E136">
        <f>Scoring_Model!L136</f>
        <v/>
      </c>
      <c r="F136" s="2">
        <f>Scoring_Model!J136</f>
        <v/>
      </c>
      <c r="G136">
        <f>IF(D136&lt;&gt;"Low Movement","",IFERROR(XLOOKUP(C136&amp;"|anchor",Scoring_Model!$P$2:$P$300,Scoring_Model!$Q$2:$Q$300,INDEX(Scoring_Model!$Q$2:$Q$300,MATCH("Yes",Scoring_Model!$M$2:$M$300,0))),"No anchor found"))</f>
        <v/>
      </c>
      <c r="H136" s="2">
        <f>Scoring_Model!O136</f>
        <v/>
      </c>
      <c r="I136">
        <f>IF(A136="","",IF(D136&lt;&gt;"Low Movement","Stable mover - bundle optional","Pair this low-movement item with the suggested anchor"))</f>
        <v/>
      </c>
    </row>
    <row r="137">
      <c r="A137">
        <f>Scoring_Model!A137</f>
        <v/>
      </c>
      <c r="B137">
        <f>Scoring_Model!B137</f>
        <v/>
      </c>
      <c r="C137">
        <f>Scoring_Model!C137</f>
        <v/>
      </c>
      <c r="D137">
        <f>Scoring_Model!K137</f>
        <v/>
      </c>
      <c r="E137">
        <f>Scoring_Model!L137</f>
        <v/>
      </c>
      <c r="F137" s="2">
        <f>Scoring_Model!J137</f>
        <v/>
      </c>
      <c r="G137">
        <f>IF(D137&lt;&gt;"Low Movement","",IFERROR(XLOOKUP(C137&amp;"|anchor",Scoring_Model!$P$2:$P$300,Scoring_Model!$Q$2:$Q$300,INDEX(Scoring_Model!$Q$2:$Q$300,MATCH("Yes",Scoring_Model!$M$2:$M$300,0))),"No anchor found"))</f>
        <v/>
      </c>
      <c r="H137" s="2">
        <f>Scoring_Model!O137</f>
        <v/>
      </c>
      <c r="I137">
        <f>IF(A137="","",IF(D137&lt;&gt;"Low Movement","Stable mover - bundle optional","Pair this low-movement item with the suggested anchor"))</f>
        <v/>
      </c>
    </row>
    <row r="138">
      <c r="A138">
        <f>Scoring_Model!A138</f>
        <v/>
      </c>
      <c r="B138">
        <f>Scoring_Model!B138</f>
        <v/>
      </c>
      <c r="C138">
        <f>Scoring_Model!C138</f>
        <v/>
      </c>
      <c r="D138">
        <f>Scoring_Model!K138</f>
        <v/>
      </c>
      <c r="E138">
        <f>Scoring_Model!L138</f>
        <v/>
      </c>
      <c r="F138" s="2">
        <f>Scoring_Model!J138</f>
        <v/>
      </c>
      <c r="G138">
        <f>IF(D138&lt;&gt;"Low Movement","",IFERROR(XLOOKUP(C138&amp;"|anchor",Scoring_Model!$P$2:$P$300,Scoring_Model!$Q$2:$Q$300,INDEX(Scoring_Model!$Q$2:$Q$300,MATCH("Yes",Scoring_Model!$M$2:$M$300,0))),"No anchor found"))</f>
        <v/>
      </c>
      <c r="H138" s="2">
        <f>Scoring_Model!O138</f>
        <v/>
      </c>
      <c r="I138">
        <f>IF(A138="","",IF(D138&lt;&gt;"Low Movement","Stable mover - bundle optional","Pair this low-movement item with the suggested anchor"))</f>
        <v/>
      </c>
    </row>
    <row r="139">
      <c r="A139">
        <f>Scoring_Model!A139</f>
        <v/>
      </c>
      <c r="B139">
        <f>Scoring_Model!B139</f>
        <v/>
      </c>
      <c r="C139">
        <f>Scoring_Model!C139</f>
        <v/>
      </c>
      <c r="D139">
        <f>Scoring_Model!K139</f>
        <v/>
      </c>
      <c r="E139">
        <f>Scoring_Model!L139</f>
        <v/>
      </c>
      <c r="F139" s="2">
        <f>Scoring_Model!J139</f>
        <v/>
      </c>
      <c r="G139">
        <f>IF(D139&lt;&gt;"Low Movement","",IFERROR(XLOOKUP(C139&amp;"|anchor",Scoring_Model!$P$2:$P$300,Scoring_Model!$Q$2:$Q$300,INDEX(Scoring_Model!$Q$2:$Q$300,MATCH("Yes",Scoring_Model!$M$2:$M$300,0))),"No anchor found"))</f>
        <v/>
      </c>
      <c r="H139" s="2">
        <f>Scoring_Model!O139</f>
        <v/>
      </c>
      <c r="I139">
        <f>IF(A139="","",IF(D139&lt;&gt;"Low Movement","Stable mover - bundle optional","Pair this low-movement item with the suggested anchor"))</f>
        <v/>
      </c>
    </row>
    <row r="140">
      <c r="A140">
        <f>Scoring_Model!A140</f>
        <v/>
      </c>
      <c r="B140">
        <f>Scoring_Model!B140</f>
        <v/>
      </c>
      <c r="C140">
        <f>Scoring_Model!C140</f>
        <v/>
      </c>
      <c r="D140">
        <f>Scoring_Model!K140</f>
        <v/>
      </c>
      <c r="E140">
        <f>Scoring_Model!L140</f>
        <v/>
      </c>
      <c r="F140" s="2">
        <f>Scoring_Model!J140</f>
        <v/>
      </c>
      <c r="G140">
        <f>IF(D140&lt;&gt;"Low Movement","",IFERROR(XLOOKUP(C140&amp;"|anchor",Scoring_Model!$P$2:$P$300,Scoring_Model!$Q$2:$Q$300,INDEX(Scoring_Model!$Q$2:$Q$300,MATCH("Yes",Scoring_Model!$M$2:$M$300,0))),"No anchor found"))</f>
        <v/>
      </c>
      <c r="H140" s="2">
        <f>Scoring_Model!O140</f>
        <v/>
      </c>
      <c r="I140">
        <f>IF(A140="","",IF(D140&lt;&gt;"Low Movement","Stable mover - bundle optional","Pair this low-movement item with the suggested anchor"))</f>
        <v/>
      </c>
    </row>
    <row r="141">
      <c r="A141">
        <f>Scoring_Model!A141</f>
        <v/>
      </c>
      <c r="B141">
        <f>Scoring_Model!B141</f>
        <v/>
      </c>
      <c r="C141">
        <f>Scoring_Model!C141</f>
        <v/>
      </c>
      <c r="D141">
        <f>Scoring_Model!K141</f>
        <v/>
      </c>
      <c r="E141">
        <f>Scoring_Model!L141</f>
        <v/>
      </c>
      <c r="F141" s="2">
        <f>Scoring_Model!J141</f>
        <v/>
      </c>
      <c r="G141">
        <f>IF(D141&lt;&gt;"Low Movement","",IFERROR(XLOOKUP(C141&amp;"|anchor",Scoring_Model!$P$2:$P$300,Scoring_Model!$Q$2:$Q$300,INDEX(Scoring_Model!$Q$2:$Q$300,MATCH("Yes",Scoring_Model!$M$2:$M$300,0))),"No anchor found"))</f>
        <v/>
      </c>
      <c r="H141" s="2">
        <f>Scoring_Model!O141</f>
        <v/>
      </c>
      <c r="I141">
        <f>IF(A141="","",IF(D141&lt;&gt;"Low Movement","Stable mover - bundle optional","Pair this low-movement item with the suggested anchor"))</f>
        <v/>
      </c>
    </row>
    <row r="142">
      <c r="A142">
        <f>Scoring_Model!A142</f>
        <v/>
      </c>
      <c r="B142">
        <f>Scoring_Model!B142</f>
        <v/>
      </c>
      <c r="C142">
        <f>Scoring_Model!C142</f>
        <v/>
      </c>
      <c r="D142">
        <f>Scoring_Model!K142</f>
        <v/>
      </c>
      <c r="E142">
        <f>Scoring_Model!L142</f>
        <v/>
      </c>
      <c r="F142" s="2">
        <f>Scoring_Model!J142</f>
        <v/>
      </c>
      <c r="G142">
        <f>IF(D142&lt;&gt;"Low Movement","",IFERROR(XLOOKUP(C142&amp;"|anchor",Scoring_Model!$P$2:$P$300,Scoring_Model!$Q$2:$Q$300,INDEX(Scoring_Model!$Q$2:$Q$300,MATCH("Yes",Scoring_Model!$M$2:$M$300,0))),"No anchor found"))</f>
        <v/>
      </c>
      <c r="H142" s="2">
        <f>Scoring_Model!O142</f>
        <v/>
      </c>
      <c r="I142">
        <f>IF(A142="","",IF(D142&lt;&gt;"Low Movement","Stable mover - bundle optional","Pair this low-movement item with the suggested anchor"))</f>
        <v/>
      </c>
    </row>
    <row r="143">
      <c r="A143">
        <f>Scoring_Model!A143</f>
        <v/>
      </c>
      <c r="B143">
        <f>Scoring_Model!B143</f>
        <v/>
      </c>
      <c r="C143">
        <f>Scoring_Model!C143</f>
        <v/>
      </c>
      <c r="D143">
        <f>Scoring_Model!K143</f>
        <v/>
      </c>
      <c r="E143">
        <f>Scoring_Model!L143</f>
        <v/>
      </c>
      <c r="F143" s="2">
        <f>Scoring_Model!J143</f>
        <v/>
      </c>
      <c r="G143">
        <f>IF(D143&lt;&gt;"Low Movement","",IFERROR(XLOOKUP(C143&amp;"|anchor",Scoring_Model!$P$2:$P$300,Scoring_Model!$Q$2:$Q$300,INDEX(Scoring_Model!$Q$2:$Q$300,MATCH("Yes",Scoring_Model!$M$2:$M$300,0))),"No anchor found"))</f>
        <v/>
      </c>
      <c r="H143" s="2">
        <f>Scoring_Model!O143</f>
        <v/>
      </c>
      <c r="I143">
        <f>IF(A143="","",IF(D143&lt;&gt;"Low Movement","Stable mover - bundle optional","Pair this low-movement item with the suggested anchor"))</f>
        <v/>
      </c>
    </row>
    <row r="144">
      <c r="A144">
        <f>Scoring_Model!A144</f>
        <v/>
      </c>
      <c r="B144">
        <f>Scoring_Model!B144</f>
        <v/>
      </c>
      <c r="C144">
        <f>Scoring_Model!C144</f>
        <v/>
      </c>
      <c r="D144">
        <f>Scoring_Model!K144</f>
        <v/>
      </c>
      <c r="E144">
        <f>Scoring_Model!L144</f>
        <v/>
      </c>
      <c r="F144" s="2">
        <f>Scoring_Model!J144</f>
        <v/>
      </c>
      <c r="G144">
        <f>IF(D144&lt;&gt;"Low Movement","",IFERROR(XLOOKUP(C144&amp;"|anchor",Scoring_Model!$P$2:$P$300,Scoring_Model!$Q$2:$Q$300,INDEX(Scoring_Model!$Q$2:$Q$300,MATCH("Yes",Scoring_Model!$M$2:$M$300,0))),"No anchor found"))</f>
        <v/>
      </c>
      <c r="H144" s="2">
        <f>Scoring_Model!O144</f>
        <v/>
      </c>
      <c r="I144">
        <f>IF(A144="","",IF(D144&lt;&gt;"Low Movement","Stable mover - bundle optional","Pair this low-movement item with the suggested anchor"))</f>
        <v/>
      </c>
    </row>
    <row r="145">
      <c r="A145">
        <f>Scoring_Model!A145</f>
        <v/>
      </c>
      <c r="B145">
        <f>Scoring_Model!B145</f>
        <v/>
      </c>
      <c r="C145">
        <f>Scoring_Model!C145</f>
        <v/>
      </c>
      <c r="D145">
        <f>Scoring_Model!K145</f>
        <v/>
      </c>
      <c r="E145">
        <f>Scoring_Model!L145</f>
        <v/>
      </c>
      <c r="F145" s="2">
        <f>Scoring_Model!J145</f>
        <v/>
      </c>
      <c r="G145">
        <f>IF(D145&lt;&gt;"Low Movement","",IFERROR(XLOOKUP(C145&amp;"|anchor",Scoring_Model!$P$2:$P$300,Scoring_Model!$Q$2:$Q$300,INDEX(Scoring_Model!$Q$2:$Q$300,MATCH("Yes",Scoring_Model!$M$2:$M$300,0))),"No anchor found"))</f>
        <v/>
      </c>
      <c r="H145" s="2">
        <f>Scoring_Model!O145</f>
        <v/>
      </c>
      <c r="I145">
        <f>IF(A145="","",IF(D145&lt;&gt;"Low Movement","Stable mover - bundle optional","Pair this low-movement item with the suggested anchor"))</f>
        <v/>
      </c>
    </row>
    <row r="146">
      <c r="A146">
        <f>Scoring_Model!A146</f>
        <v/>
      </c>
      <c r="B146">
        <f>Scoring_Model!B146</f>
        <v/>
      </c>
      <c r="C146">
        <f>Scoring_Model!C146</f>
        <v/>
      </c>
      <c r="D146">
        <f>Scoring_Model!K146</f>
        <v/>
      </c>
      <c r="E146">
        <f>Scoring_Model!L146</f>
        <v/>
      </c>
      <c r="F146" s="2">
        <f>Scoring_Model!J146</f>
        <v/>
      </c>
      <c r="G146">
        <f>IF(D146&lt;&gt;"Low Movement","",IFERROR(XLOOKUP(C146&amp;"|anchor",Scoring_Model!$P$2:$P$300,Scoring_Model!$Q$2:$Q$300,INDEX(Scoring_Model!$Q$2:$Q$300,MATCH("Yes",Scoring_Model!$M$2:$M$300,0))),"No anchor found"))</f>
        <v/>
      </c>
      <c r="H146" s="2">
        <f>Scoring_Model!O146</f>
        <v/>
      </c>
      <c r="I146">
        <f>IF(A146="","",IF(D146&lt;&gt;"Low Movement","Stable mover - bundle optional","Pair this low-movement item with the suggested anchor"))</f>
        <v/>
      </c>
    </row>
    <row r="147">
      <c r="A147">
        <f>Scoring_Model!A147</f>
        <v/>
      </c>
      <c r="B147">
        <f>Scoring_Model!B147</f>
        <v/>
      </c>
      <c r="C147">
        <f>Scoring_Model!C147</f>
        <v/>
      </c>
      <c r="D147">
        <f>Scoring_Model!K147</f>
        <v/>
      </c>
      <c r="E147">
        <f>Scoring_Model!L147</f>
        <v/>
      </c>
      <c r="F147" s="2">
        <f>Scoring_Model!J147</f>
        <v/>
      </c>
      <c r="G147">
        <f>IF(D147&lt;&gt;"Low Movement","",IFERROR(XLOOKUP(C147&amp;"|anchor",Scoring_Model!$P$2:$P$300,Scoring_Model!$Q$2:$Q$300,INDEX(Scoring_Model!$Q$2:$Q$300,MATCH("Yes",Scoring_Model!$M$2:$M$300,0))),"No anchor found"))</f>
        <v/>
      </c>
      <c r="H147" s="2">
        <f>Scoring_Model!O147</f>
        <v/>
      </c>
      <c r="I147">
        <f>IF(A147="","",IF(D147&lt;&gt;"Low Movement","Stable mover - bundle optional","Pair this low-movement item with the suggested anchor"))</f>
        <v/>
      </c>
    </row>
    <row r="148">
      <c r="A148">
        <f>Scoring_Model!A148</f>
        <v/>
      </c>
      <c r="B148">
        <f>Scoring_Model!B148</f>
        <v/>
      </c>
      <c r="C148">
        <f>Scoring_Model!C148</f>
        <v/>
      </c>
      <c r="D148">
        <f>Scoring_Model!K148</f>
        <v/>
      </c>
      <c r="E148">
        <f>Scoring_Model!L148</f>
        <v/>
      </c>
      <c r="F148" s="2">
        <f>Scoring_Model!J148</f>
        <v/>
      </c>
      <c r="G148">
        <f>IF(D148&lt;&gt;"Low Movement","",IFERROR(XLOOKUP(C148&amp;"|anchor",Scoring_Model!$P$2:$P$300,Scoring_Model!$Q$2:$Q$300,INDEX(Scoring_Model!$Q$2:$Q$300,MATCH("Yes",Scoring_Model!$M$2:$M$300,0))),"No anchor found"))</f>
        <v/>
      </c>
      <c r="H148" s="2">
        <f>Scoring_Model!O148</f>
        <v/>
      </c>
      <c r="I148">
        <f>IF(A148="","",IF(D148&lt;&gt;"Low Movement","Stable mover - bundle optional","Pair this low-movement item with the suggested anchor"))</f>
        <v/>
      </c>
    </row>
    <row r="149">
      <c r="A149">
        <f>Scoring_Model!A149</f>
        <v/>
      </c>
      <c r="B149">
        <f>Scoring_Model!B149</f>
        <v/>
      </c>
      <c r="C149">
        <f>Scoring_Model!C149</f>
        <v/>
      </c>
      <c r="D149">
        <f>Scoring_Model!K149</f>
        <v/>
      </c>
      <c r="E149">
        <f>Scoring_Model!L149</f>
        <v/>
      </c>
      <c r="F149" s="2">
        <f>Scoring_Model!J149</f>
        <v/>
      </c>
      <c r="G149">
        <f>IF(D149&lt;&gt;"Low Movement","",IFERROR(XLOOKUP(C149&amp;"|anchor",Scoring_Model!$P$2:$P$300,Scoring_Model!$Q$2:$Q$300,INDEX(Scoring_Model!$Q$2:$Q$300,MATCH("Yes",Scoring_Model!$M$2:$M$300,0))),"No anchor found"))</f>
        <v/>
      </c>
      <c r="H149" s="2">
        <f>Scoring_Model!O149</f>
        <v/>
      </c>
      <c r="I149">
        <f>IF(A149="","",IF(D149&lt;&gt;"Low Movement","Stable mover - bundle optional","Pair this low-movement item with the suggested anchor"))</f>
        <v/>
      </c>
    </row>
    <row r="150">
      <c r="A150">
        <f>Scoring_Model!A150</f>
        <v/>
      </c>
      <c r="B150">
        <f>Scoring_Model!B150</f>
        <v/>
      </c>
      <c r="C150">
        <f>Scoring_Model!C150</f>
        <v/>
      </c>
      <c r="D150">
        <f>Scoring_Model!K150</f>
        <v/>
      </c>
      <c r="E150">
        <f>Scoring_Model!L150</f>
        <v/>
      </c>
      <c r="F150" s="2">
        <f>Scoring_Model!J150</f>
        <v/>
      </c>
      <c r="G150">
        <f>IF(D150&lt;&gt;"Low Movement","",IFERROR(XLOOKUP(C150&amp;"|anchor",Scoring_Model!$P$2:$P$300,Scoring_Model!$Q$2:$Q$300,INDEX(Scoring_Model!$Q$2:$Q$300,MATCH("Yes",Scoring_Model!$M$2:$M$300,0))),"No anchor found"))</f>
        <v/>
      </c>
      <c r="H150" s="2">
        <f>Scoring_Model!O150</f>
        <v/>
      </c>
      <c r="I150">
        <f>IF(A150="","",IF(D150&lt;&gt;"Low Movement","Stable mover - bundle optional","Pair this low-movement item with the suggested anchor"))</f>
        <v/>
      </c>
    </row>
    <row r="151">
      <c r="A151">
        <f>Scoring_Model!A151</f>
        <v/>
      </c>
      <c r="B151">
        <f>Scoring_Model!B151</f>
        <v/>
      </c>
      <c r="C151">
        <f>Scoring_Model!C151</f>
        <v/>
      </c>
      <c r="D151">
        <f>Scoring_Model!K151</f>
        <v/>
      </c>
      <c r="E151">
        <f>Scoring_Model!L151</f>
        <v/>
      </c>
      <c r="F151" s="2">
        <f>Scoring_Model!J151</f>
        <v/>
      </c>
      <c r="G151">
        <f>IF(D151&lt;&gt;"Low Movement","",IFERROR(XLOOKUP(C151&amp;"|anchor",Scoring_Model!$P$2:$P$300,Scoring_Model!$Q$2:$Q$300,INDEX(Scoring_Model!$Q$2:$Q$300,MATCH("Yes",Scoring_Model!$M$2:$M$300,0))),"No anchor found"))</f>
        <v/>
      </c>
      <c r="H151" s="2">
        <f>Scoring_Model!O151</f>
        <v/>
      </c>
      <c r="I151">
        <f>IF(A151="","",IF(D151&lt;&gt;"Low Movement","Stable mover - bundle optional","Pair this low-movement item with the suggested anchor"))</f>
        <v/>
      </c>
    </row>
    <row r="152">
      <c r="A152">
        <f>Scoring_Model!A152</f>
        <v/>
      </c>
      <c r="B152">
        <f>Scoring_Model!B152</f>
        <v/>
      </c>
      <c r="C152">
        <f>Scoring_Model!C152</f>
        <v/>
      </c>
      <c r="D152">
        <f>Scoring_Model!K152</f>
        <v/>
      </c>
      <c r="E152">
        <f>Scoring_Model!L152</f>
        <v/>
      </c>
      <c r="F152" s="2">
        <f>Scoring_Model!J152</f>
        <v/>
      </c>
      <c r="G152">
        <f>IF(D152&lt;&gt;"Low Movement","",IFERROR(XLOOKUP(C152&amp;"|anchor",Scoring_Model!$P$2:$P$300,Scoring_Model!$Q$2:$Q$300,INDEX(Scoring_Model!$Q$2:$Q$300,MATCH("Yes",Scoring_Model!$M$2:$M$300,0))),"No anchor found"))</f>
        <v/>
      </c>
      <c r="H152" s="2">
        <f>Scoring_Model!O152</f>
        <v/>
      </c>
      <c r="I152">
        <f>IF(A152="","",IF(D152&lt;&gt;"Low Movement","Stable mover - bundle optional","Pair this low-movement item with the suggested anchor"))</f>
        <v/>
      </c>
    </row>
    <row r="153">
      <c r="A153">
        <f>Scoring_Model!A153</f>
        <v/>
      </c>
      <c r="B153">
        <f>Scoring_Model!B153</f>
        <v/>
      </c>
      <c r="C153">
        <f>Scoring_Model!C153</f>
        <v/>
      </c>
      <c r="D153">
        <f>Scoring_Model!K153</f>
        <v/>
      </c>
      <c r="E153">
        <f>Scoring_Model!L153</f>
        <v/>
      </c>
      <c r="F153" s="2">
        <f>Scoring_Model!J153</f>
        <v/>
      </c>
      <c r="G153">
        <f>IF(D153&lt;&gt;"Low Movement","",IFERROR(XLOOKUP(C153&amp;"|anchor",Scoring_Model!$P$2:$P$300,Scoring_Model!$Q$2:$Q$300,INDEX(Scoring_Model!$Q$2:$Q$300,MATCH("Yes",Scoring_Model!$M$2:$M$300,0))),"No anchor found"))</f>
        <v/>
      </c>
      <c r="H153" s="2">
        <f>Scoring_Model!O153</f>
        <v/>
      </c>
      <c r="I153">
        <f>IF(A153="","",IF(D153&lt;&gt;"Low Movement","Stable mover - bundle optional","Pair this low-movement item with the suggested anchor"))</f>
        <v/>
      </c>
    </row>
    <row r="154">
      <c r="A154">
        <f>Scoring_Model!A154</f>
        <v/>
      </c>
      <c r="B154">
        <f>Scoring_Model!B154</f>
        <v/>
      </c>
      <c r="C154">
        <f>Scoring_Model!C154</f>
        <v/>
      </c>
      <c r="D154">
        <f>Scoring_Model!K154</f>
        <v/>
      </c>
      <c r="E154">
        <f>Scoring_Model!L154</f>
        <v/>
      </c>
      <c r="F154" s="2">
        <f>Scoring_Model!J154</f>
        <v/>
      </c>
      <c r="G154">
        <f>IF(D154&lt;&gt;"Low Movement","",IFERROR(XLOOKUP(C154&amp;"|anchor",Scoring_Model!$P$2:$P$300,Scoring_Model!$Q$2:$Q$300,INDEX(Scoring_Model!$Q$2:$Q$300,MATCH("Yes",Scoring_Model!$M$2:$M$300,0))),"No anchor found"))</f>
        <v/>
      </c>
      <c r="H154" s="2">
        <f>Scoring_Model!O154</f>
        <v/>
      </c>
      <c r="I154">
        <f>IF(A154="","",IF(D154&lt;&gt;"Low Movement","Stable mover - bundle optional","Pair this low-movement item with the suggested anchor"))</f>
        <v/>
      </c>
    </row>
    <row r="155">
      <c r="A155">
        <f>Scoring_Model!A155</f>
        <v/>
      </c>
      <c r="B155">
        <f>Scoring_Model!B155</f>
        <v/>
      </c>
      <c r="C155">
        <f>Scoring_Model!C155</f>
        <v/>
      </c>
      <c r="D155">
        <f>Scoring_Model!K155</f>
        <v/>
      </c>
      <c r="E155">
        <f>Scoring_Model!L155</f>
        <v/>
      </c>
      <c r="F155" s="2">
        <f>Scoring_Model!J155</f>
        <v/>
      </c>
      <c r="G155">
        <f>IF(D155&lt;&gt;"Low Movement","",IFERROR(XLOOKUP(C155&amp;"|anchor",Scoring_Model!$P$2:$P$300,Scoring_Model!$Q$2:$Q$300,INDEX(Scoring_Model!$Q$2:$Q$300,MATCH("Yes",Scoring_Model!$M$2:$M$300,0))),"No anchor found"))</f>
        <v/>
      </c>
      <c r="H155" s="2">
        <f>Scoring_Model!O155</f>
        <v/>
      </c>
      <c r="I155">
        <f>IF(A155="","",IF(D155&lt;&gt;"Low Movement","Stable mover - bundle optional","Pair this low-movement item with the suggested anchor"))</f>
        <v/>
      </c>
    </row>
    <row r="156">
      <c r="A156">
        <f>Scoring_Model!A156</f>
        <v/>
      </c>
      <c r="B156">
        <f>Scoring_Model!B156</f>
        <v/>
      </c>
      <c r="C156">
        <f>Scoring_Model!C156</f>
        <v/>
      </c>
      <c r="D156">
        <f>Scoring_Model!K156</f>
        <v/>
      </c>
      <c r="E156">
        <f>Scoring_Model!L156</f>
        <v/>
      </c>
      <c r="F156" s="2">
        <f>Scoring_Model!J156</f>
        <v/>
      </c>
      <c r="G156">
        <f>IF(D156&lt;&gt;"Low Movement","",IFERROR(XLOOKUP(C156&amp;"|anchor",Scoring_Model!$P$2:$P$300,Scoring_Model!$Q$2:$Q$300,INDEX(Scoring_Model!$Q$2:$Q$300,MATCH("Yes",Scoring_Model!$M$2:$M$300,0))),"No anchor found"))</f>
        <v/>
      </c>
      <c r="H156" s="2">
        <f>Scoring_Model!O156</f>
        <v/>
      </c>
      <c r="I156">
        <f>IF(A156="","",IF(D156&lt;&gt;"Low Movement","Stable mover - bundle optional","Pair this low-movement item with the suggested anchor"))</f>
        <v/>
      </c>
    </row>
    <row r="157">
      <c r="A157">
        <f>Scoring_Model!A157</f>
        <v/>
      </c>
      <c r="B157">
        <f>Scoring_Model!B157</f>
        <v/>
      </c>
      <c r="C157">
        <f>Scoring_Model!C157</f>
        <v/>
      </c>
      <c r="D157">
        <f>Scoring_Model!K157</f>
        <v/>
      </c>
      <c r="E157">
        <f>Scoring_Model!L157</f>
        <v/>
      </c>
      <c r="F157" s="2">
        <f>Scoring_Model!J157</f>
        <v/>
      </c>
      <c r="G157">
        <f>IF(D157&lt;&gt;"Low Movement","",IFERROR(XLOOKUP(C157&amp;"|anchor",Scoring_Model!$P$2:$P$300,Scoring_Model!$Q$2:$Q$300,INDEX(Scoring_Model!$Q$2:$Q$300,MATCH("Yes",Scoring_Model!$M$2:$M$300,0))),"No anchor found"))</f>
        <v/>
      </c>
      <c r="H157" s="2">
        <f>Scoring_Model!O157</f>
        <v/>
      </c>
      <c r="I157">
        <f>IF(A157="","",IF(D157&lt;&gt;"Low Movement","Stable mover - bundle optional","Pair this low-movement item with the suggested anchor"))</f>
        <v/>
      </c>
    </row>
    <row r="158">
      <c r="A158">
        <f>Scoring_Model!A158</f>
        <v/>
      </c>
      <c r="B158">
        <f>Scoring_Model!B158</f>
        <v/>
      </c>
      <c r="C158">
        <f>Scoring_Model!C158</f>
        <v/>
      </c>
      <c r="D158">
        <f>Scoring_Model!K158</f>
        <v/>
      </c>
      <c r="E158">
        <f>Scoring_Model!L158</f>
        <v/>
      </c>
      <c r="F158" s="2">
        <f>Scoring_Model!J158</f>
        <v/>
      </c>
      <c r="G158">
        <f>IF(D158&lt;&gt;"Low Movement","",IFERROR(XLOOKUP(C158&amp;"|anchor",Scoring_Model!$P$2:$P$300,Scoring_Model!$Q$2:$Q$300,INDEX(Scoring_Model!$Q$2:$Q$300,MATCH("Yes",Scoring_Model!$M$2:$M$300,0))),"No anchor found"))</f>
        <v/>
      </c>
      <c r="H158" s="2">
        <f>Scoring_Model!O158</f>
        <v/>
      </c>
      <c r="I158">
        <f>IF(A158="","",IF(D158&lt;&gt;"Low Movement","Stable mover - bundle optional","Pair this low-movement item with the suggested anchor"))</f>
        <v/>
      </c>
    </row>
    <row r="159">
      <c r="A159">
        <f>Scoring_Model!A159</f>
        <v/>
      </c>
      <c r="B159">
        <f>Scoring_Model!B159</f>
        <v/>
      </c>
      <c r="C159">
        <f>Scoring_Model!C159</f>
        <v/>
      </c>
      <c r="D159">
        <f>Scoring_Model!K159</f>
        <v/>
      </c>
      <c r="E159">
        <f>Scoring_Model!L159</f>
        <v/>
      </c>
      <c r="F159" s="2">
        <f>Scoring_Model!J159</f>
        <v/>
      </c>
      <c r="G159">
        <f>IF(D159&lt;&gt;"Low Movement","",IFERROR(XLOOKUP(C159&amp;"|anchor",Scoring_Model!$P$2:$P$300,Scoring_Model!$Q$2:$Q$300,INDEX(Scoring_Model!$Q$2:$Q$300,MATCH("Yes",Scoring_Model!$M$2:$M$300,0))),"No anchor found"))</f>
        <v/>
      </c>
      <c r="H159" s="2">
        <f>Scoring_Model!O159</f>
        <v/>
      </c>
      <c r="I159">
        <f>IF(A159="","",IF(D159&lt;&gt;"Low Movement","Stable mover - bundle optional","Pair this low-movement item with the suggested anchor"))</f>
        <v/>
      </c>
    </row>
    <row r="160">
      <c r="A160">
        <f>Scoring_Model!A160</f>
        <v/>
      </c>
      <c r="B160">
        <f>Scoring_Model!B160</f>
        <v/>
      </c>
      <c r="C160">
        <f>Scoring_Model!C160</f>
        <v/>
      </c>
      <c r="D160">
        <f>Scoring_Model!K160</f>
        <v/>
      </c>
      <c r="E160">
        <f>Scoring_Model!L160</f>
        <v/>
      </c>
      <c r="F160" s="2">
        <f>Scoring_Model!J160</f>
        <v/>
      </c>
      <c r="G160">
        <f>IF(D160&lt;&gt;"Low Movement","",IFERROR(XLOOKUP(C160&amp;"|anchor",Scoring_Model!$P$2:$P$300,Scoring_Model!$Q$2:$Q$300,INDEX(Scoring_Model!$Q$2:$Q$300,MATCH("Yes",Scoring_Model!$M$2:$M$300,0))),"No anchor found"))</f>
        <v/>
      </c>
      <c r="H160" s="2">
        <f>Scoring_Model!O160</f>
        <v/>
      </c>
      <c r="I160">
        <f>IF(A160="","",IF(D160&lt;&gt;"Low Movement","Stable mover - bundle optional","Pair this low-movement item with the suggested anchor"))</f>
        <v/>
      </c>
    </row>
    <row r="161">
      <c r="A161">
        <f>Scoring_Model!A161</f>
        <v/>
      </c>
      <c r="B161">
        <f>Scoring_Model!B161</f>
        <v/>
      </c>
      <c r="C161">
        <f>Scoring_Model!C161</f>
        <v/>
      </c>
      <c r="D161">
        <f>Scoring_Model!K161</f>
        <v/>
      </c>
      <c r="E161">
        <f>Scoring_Model!L161</f>
        <v/>
      </c>
      <c r="F161" s="2">
        <f>Scoring_Model!J161</f>
        <v/>
      </c>
      <c r="G161">
        <f>IF(D161&lt;&gt;"Low Movement","",IFERROR(XLOOKUP(C161&amp;"|anchor",Scoring_Model!$P$2:$P$300,Scoring_Model!$Q$2:$Q$300,INDEX(Scoring_Model!$Q$2:$Q$300,MATCH("Yes",Scoring_Model!$M$2:$M$300,0))),"No anchor found"))</f>
        <v/>
      </c>
      <c r="H161" s="2">
        <f>Scoring_Model!O161</f>
        <v/>
      </c>
      <c r="I161">
        <f>IF(A161="","",IF(D161&lt;&gt;"Low Movement","Stable mover - bundle optional","Pair this low-movement item with the suggested anchor"))</f>
        <v/>
      </c>
    </row>
    <row r="162">
      <c r="A162">
        <f>Scoring_Model!A162</f>
        <v/>
      </c>
      <c r="B162">
        <f>Scoring_Model!B162</f>
        <v/>
      </c>
      <c r="C162">
        <f>Scoring_Model!C162</f>
        <v/>
      </c>
      <c r="D162">
        <f>Scoring_Model!K162</f>
        <v/>
      </c>
      <c r="E162">
        <f>Scoring_Model!L162</f>
        <v/>
      </c>
      <c r="F162" s="2">
        <f>Scoring_Model!J162</f>
        <v/>
      </c>
      <c r="G162">
        <f>IF(D162&lt;&gt;"Low Movement","",IFERROR(XLOOKUP(C162&amp;"|anchor",Scoring_Model!$P$2:$P$300,Scoring_Model!$Q$2:$Q$300,INDEX(Scoring_Model!$Q$2:$Q$300,MATCH("Yes",Scoring_Model!$M$2:$M$300,0))),"No anchor found"))</f>
        <v/>
      </c>
      <c r="H162" s="2">
        <f>Scoring_Model!O162</f>
        <v/>
      </c>
      <c r="I162">
        <f>IF(A162="","",IF(D162&lt;&gt;"Low Movement","Stable mover - bundle optional","Pair this low-movement item with the suggested anchor"))</f>
        <v/>
      </c>
    </row>
    <row r="163">
      <c r="A163">
        <f>Scoring_Model!A163</f>
        <v/>
      </c>
      <c r="B163">
        <f>Scoring_Model!B163</f>
        <v/>
      </c>
      <c r="C163">
        <f>Scoring_Model!C163</f>
        <v/>
      </c>
      <c r="D163">
        <f>Scoring_Model!K163</f>
        <v/>
      </c>
      <c r="E163">
        <f>Scoring_Model!L163</f>
        <v/>
      </c>
      <c r="F163" s="2">
        <f>Scoring_Model!J163</f>
        <v/>
      </c>
      <c r="G163">
        <f>IF(D163&lt;&gt;"Low Movement","",IFERROR(XLOOKUP(C163&amp;"|anchor",Scoring_Model!$P$2:$P$300,Scoring_Model!$Q$2:$Q$300,INDEX(Scoring_Model!$Q$2:$Q$300,MATCH("Yes",Scoring_Model!$M$2:$M$300,0))),"No anchor found"))</f>
        <v/>
      </c>
      <c r="H163" s="2">
        <f>Scoring_Model!O163</f>
        <v/>
      </c>
      <c r="I163">
        <f>IF(A163="","",IF(D163&lt;&gt;"Low Movement","Stable mover - bundle optional","Pair this low-movement item with the suggested anchor"))</f>
        <v/>
      </c>
    </row>
    <row r="164">
      <c r="A164">
        <f>Scoring_Model!A164</f>
        <v/>
      </c>
      <c r="B164">
        <f>Scoring_Model!B164</f>
        <v/>
      </c>
      <c r="C164">
        <f>Scoring_Model!C164</f>
        <v/>
      </c>
      <c r="D164">
        <f>Scoring_Model!K164</f>
        <v/>
      </c>
      <c r="E164">
        <f>Scoring_Model!L164</f>
        <v/>
      </c>
      <c r="F164" s="2">
        <f>Scoring_Model!J164</f>
        <v/>
      </c>
      <c r="G164">
        <f>IF(D164&lt;&gt;"Low Movement","",IFERROR(XLOOKUP(C164&amp;"|anchor",Scoring_Model!$P$2:$P$300,Scoring_Model!$Q$2:$Q$300,INDEX(Scoring_Model!$Q$2:$Q$300,MATCH("Yes",Scoring_Model!$M$2:$M$300,0))),"No anchor found"))</f>
        <v/>
      </c>
      <c r="H164" s="2">
        <f>Scoring_Model!O164</f>
        <v/>
      </c>
      <c r="I164">
        <f>IF(A164="","",IF(D164&lt;&gt;"Low Movement","Stable mover - bundle optional","Pair this low-movement item with the suggested anchor"))</f>
        <v/>
      </c>
    </row>
    <row r="165">
      <c r="A165">
        <f>Scoring_Model!A165</f>
        <v/>
      </c>
      <c r="B165">
        <f>Scoring_Model!B165</f>
        <v/>
      </c>
      <c r="C165">
        <f>Scoring_Model!C165</f>
        <v/>
      </c>
      <c r="D165">
        <f>Scoring_Model!K165</f>
        <v/>
      </c>
      <c r="E165">
        <f>Scoring_Model!L165</f>
        <v/>
      </c>
      <c r="F165" s="2">
        <f>Scoring_Model!J165</f>
        <v/>
      </c>
      <c r="G165">
        <f>IF(D165&lt;&gt;"Low Movement","",IFERROR(XLOOKUP(C165&amp;"|anchor",Scoring_Model!$P$2:$P$300,Scoring_Model!$Q$2:$Q$300,INDEX(Scoring_Model!$Q$2:$Q$300,MATCH("Yes",Scoring_Model!$M$2:$M$300,0))),"No anchor found"))</f>
        <v/>
      </c>
      <c r="H165" s="2">
        <f>Scoring_Model!O165</f>
        <v/>
      </c>
      <c r="I165">
        <f>IF(A165="","",IF(D165&lt;&gt;"Low Movement","Stable mover - bundle optional","Pair this low-movement item with the suggested anchor"))</f>
        <v/>
      </c>
    </row>
    <row r="166">
      <c r="A166">
        <f>Scoring_Model!A166</f>
        <v/>
      </c>
      <c r="B166">
        <f>Scoring_Model!B166</f>
        <v/>
      </c>
      <c r="C166">
        <f>Scoring_Model!C166</f>
        <v/>
      </c>
      <c r="D166">
        <f>Scoring_Model!K166</f>
        <v/>
      </c>
      <c r="E166">
        <f>Scoring_Model!L166</f>
        <v/>
      </c>
      <c r="F166" s="2">
        <f>Scoring_Model!J166</f>
        <v/>
      </c>
      <c r="G166">
        <f>IF(D166&lt;&gt;"Low Movement","",IFERROR(XLOOKUP(C166&amp;"|anchor",Scoring_Model!$P$2:$P$300,Scoring_Model!$Q$2:$Q$300,INDEX(Scoring_Model!$Q$2:$Q$300,MATCH("Yes",Scoring_Model!$M$2:$M$300,0))),"No anchor found"))</f>
        <v/>
      </c>
      <c r="H166" s="2">
        <f>Scoring_Model!O166</f>
        <v/>
      </c>
      <c r="I166">
        <f>IF(A166="","",IF(D166&lt;&gt;"Low Movement","Stable mover - bundle optional","Pair this low-movement item with the suggested anchor"))</f>
        <v/>
      </c>
    </row>
    <row r="167">
      <c r="A167">
        <f>Scoring_Model!A167</f>
        <v/>
      </c>
      <c r="B167">
        <f>Scoring_Model!B167</f>
        <v/>
      </c>
      <c r="C167">
        <f>Scoring_Model!C167</f>
        <v/>
      </c>
      <c r="D167">
        <f>Scoring_Model!K167</f>
        <v/>
      </c>
      <c r="E167">
        <f>Scoring_Model!L167</f>
        <v/>
      </c>
      <c r="F167" s="2">
        <f>Scoring_Model!J167</f>
        <v/>
      </c>
      <c r="G167">
        <f>IF(D167&lt;&gt;"Low Movement","",IFERROR(XLOOKUP(C167&amp;"|anchor",Scoring_Model!$P$2:$P$300,Scoring_Model!$Q$2:$Q$300,INDEX(Scoring_Model!$Q$2:$Q$300,MATCH("Yes",Scoring_Model!$M$2:$M$300,0))),"No anchor found"))</f>
        <v/>
      </c>
      <c r="H167" s="2">
        <f>Scoring_Model!O167</f>
        <v/>
      </c>
      <c r="I167">
        <f>IF(A167="","",IF(D167&lt;&gt;"Low Movement","Stable mover - bundle optional","Pair this low-movement item with the suggested anchor"))</f>
        <v/>
      </c>
    </row>
    <row r="168">
      <c r="A168">
        <f>Scoring_Model!A168</f>
        <v/>
      </c>
      <c r="B168">
        <f>Scoring_Model!B168</f>
        <v/>
      </c>
      <c r="C168">
        <f>Scoring_Model!C168</f>
        <v/>
      </c>
      <c r="D168">
        <f>Scoring_Model!K168</f>
        <v/>
      </c>
      <c r="E168">
        <f>Scoring_Model!L168</f>
        <v/>
      </c>
      <c r="F168" s="2">
        <f>Scoring_Model!J168</f>
        <v/>
      </c>
      <c r="G168">
        <f>IF(D168&lt;&gt;"Low Movement","",IFERROR(XLOOKUP(C168&amp;"|anchor",Scoring_Model!$P$2:$P$300,Scoring_Model!$Q$2:$Q$300,INDEX(Scoring_Model!$Q$2:$Q$300,MATCH("Yes",Scoring_Model!$M$2:$M$300,0))),"No anchor found"))</f>
        <v/>
      </c>
      <c r="H168" s="2">
        <f>Scoring_Model!O168</f>
        <v/>
      </c>
      <c r="I168">
        <f>IF(A168="","",IF(D168&lt;&gt;"Low Movement","Stable mover - bundle optional","Pair this low-movement item with the suggested anchor"))</f>
        <v/>
      </c>
    </row>
    <row r="169">
      <c r="A169">
        <f>Scoring_Model!A169</f>
        <v/>
      </c>
      <c r="B169">
        <f>Scoring_Model!B169</f>
        <v/>
      </c>
      <c r="C169">
        <f>Scoring_Model!C169</f>
        <v/>
      </c>
      <c r="D169">
        <f>Scoring_Model!K169</f>
        <v/>
      </c>
      <c r="E169">
        <f>Scoring_Model!L169</f>
        <v/>
      </c>
      <c r="F169" s="2">
        <f>Scoring_Model!J169</f>
        <v/>
      </c>
      <c r="G169">
        <f>IF(D169&lt;&gt;"Low Movement","",IFERROR(XLOOKUP(C169&amp;"|anchor",Scoring_Model!$P$2:$P$300,Scoring_Model!$Q$2:$Q$300,INDEX(Scoring_Model!$Q$2:$Q$300,MATCH("Yes",Scoring_Model!$M$2:$M$300,0))),"No anchor found"))</f>
        <v/>
      </c>
      <c r="H169" s="2">
        <f>Scoring_Model!O169</f>
        <v/>
      </c>
      <c r="I169">
        <f>IF(A169="","",IF(D169&lt;&gt;"Low Movement","Stable mover - bundle optional","Pair this low-movement item with the suggested anchor"))</f>
        <v/>
      </c>
    </row>
    <row r="170">
      <c r="A170">
        <f>Scoring_Model!A170</f>
        <v/>
      </c>
      <c r="B170">
        <f>Scoring_Model!B170</f>
        <v/>
      </c>
      <c r="C170">
        <f>Scoring_Model!C170</f>
        <v/>
      </c>
      <c r="D170">
        <f>Scoring_Model!K170</f>
        <v/>
      </c>
      <c r="E170">
        <f>Scoring_Model!L170</f>
        <v/>
      </c>
      <c r="F170" s="2">
        <f>Scoring_Model!J170</f>
        <v/>
      </c>
      <c r="G170">
        <f>IF(D170&lt;&gt;"Low Movement","",IFERROR(XLOOKUP(C170&amp;"|anchor",Scoring_Model!$P$2:$P$300,Scoring_Model!$Q$2:$Q$300,INDEX(Scoring_Model!$Q$2:$Q$300,MATCH("Yes",Scoring_Model!$M$2:$M$300,0))),"No anchor found"))</f>
        <v/>
      </c>
      <c r="H170" s="2">
        <f>Scoring_Model!O170</f>
        <v/>
      </c>
      <c r="I170">
        <f>IF(A170="","",IF(D170&lt;&gt;"Low Movement","Stable mover - bundle optional","Pair this low-movement item with the suggested anchor"))</f>
        <v/>
      </c>
    </row>
    <row r="171">
      <c r="A171">
        <f>Scoring_Model!A171</f>
        <v/>
      </c>
      <c r="B171">
        <f>Scoring_Model!B171</f>
        <v/>
      </c>
      <c r="C171">
        <f>Scoring_Model!C171</f>
        <v/>
      </c>
      <c r="D171">
        <f>Scoring_Model!K171</f>
        <v/>
      </c>
      <c r="E171">
        <f>Scoring_Model!L171</f>
        <v/>
      </c>
      <c r="F171" s="2">
        <f>Scoring_Model!J171</f>
        <v/>
      </c>
      <c r="G171">
        <f>IF(D171&lt;&gt;"Low Movement","",IFERROR(XLOOKUP(C171&amp;"|anchor",Scoring_Model!$P$2:$P$300,Scoring_Model!$Q$2:$Q$300,INDEX(Scoring_Model!$Q$2:$Q$300,MATCH("Yes",Scoring_Model!$M$2:$M$300,0))),"No anchor found"))</f>
        <v/>
      </c>
      <c r="H171" s="2">
        <f>Scoring_Model!O171</f>
        <v/>
      </c>
      <c r="I171">
        <f>IF(A171="","",IF(D171&lt;&gt;"Low Movement","Stable mover - bundle optional","Pair this low-movement item with the suggested anchor"))</f>
        <v/>
      </c>
    </row>
    <row r="172">
      <c r="A172">
        <f>Scoring_Model!A172</f>
        <v/>
      </c>
      <c r="B172">
        <f>Scoring_Model!B172</f>
        <v/>
      </c>
      <c r="C172">
        <f>Scoring_Model!C172</f>
        <v/>
      </c>
      <c r="D172">
        <f>Scoring_Model!K172</f>
        <v/>
      </c>
      <c r="E172">
        <f>Scoring_Model!L172</f>
        <v/>
      </c>
      <c r="F172" s="2">
        <f>Scoring_Model!J172</f>
        <v/>
      </c>
      <c r="G172">
        <f>IF(D172&lt;&gt;"Low Movement","",IFERROR(XLOOKUP(C172&amp;"|anchor",Scoring_Model!$P$2:$P$300,Scoring_Model!$Q$2:$Q$300,INDEX(Scoring_Model!$Q$2:$Q$300,MATCH("Yes",Scoring_Model!$M$2:$M$300,0))),"No anchor found"))</f>
        <v/>
      </c>
      <c r="H172" s="2">
        <f>Scoring_Model!O172</f>
        <v/>
      </c>
      <c r="I172">
        <f>IF(A172="","",IF(D172&lt;&gt;"Low Movement","Stable mover - bundle optional","Pair this low-movement item with the suggested anchor"))</f>
        <v/>
      </c>
    </row>
    <row r="173">
      <c r="A173">
        <f>Scoring_Model!A173</f>
        <v/>
      </c>
      <c r="B173">
        <f>Scoring_Model!B173</f>
        <v/>
      </c>
      <c r="C173">
        <f>Scoring_Model!C173</f>
        <v/>
      </c>
      <c r="D173">
        <f>Scoring_Model!K173</f>
        <v/>
      </c>
      <c r="E173">
        <f>Scoring_Model!L173</f>
        <v/>
      </c>
      <c r="F173" s="2">
        <f>Scoring_Model!J173</f>
        <v/>
      </c>
      <c r="G173">
        <f>IF(D173&lt;&gt;"Low Movement","",IFERROR(XLOOKUP(C173&amp;"|anchor",Scoring_Model!$P$2:$P$300,Scoring_Model!$Q$2:$Q$300,INDEX(Scoring_Model!$Q$2:$Q$300,MATCH("Yes",Scoring_Model!$M$2:$M$300,0))),"No anchor found"))</f>
        <v/>
      </c>
      <c r="H173" s="2">
        <f>Scoring_Model!O173</f>
        <v/>
      </c>
      <c r="I173">
        <f>IF(A173="","",IF(D173&lt;&gt;"Low Movement","Stable mover - bundle optional","Pair this low-movement item with the suggested anchor"))</f>
        <v/>
      </c>
    </row>
    <row r="174">
      <c r="A174">
        <f>Scoring_Model!A174</f>
        <v/>
      </c>
      <c r="B174">
        <f>Scoring_Model!B174</f>
        <v/>
      </c>
      <c r="C174">
        <f>Scoring_Model!C174</f>
        <v/>
      </c>
      <c r="D174">
        <f>Scoring_Model!K174</f>
        <v/>
      </c>
      <c r="E174">
        <f>Scoring_Model!L174</f>
        <v/>
      </c>
      <c r="F174" s="2">
        <f>Scoring_Model!J174</f>
        <v/>
      </c>
      <c r="G174">
        <f>IF(D174&lt;&gt;"Low Movement","",IFERROR(XLOOKUP(C174&amp;"|anchor",Scoring_Model!$P$2:$P$300,Scoring_Model!$Q$2:$Q$300,INDEX(Scoring_Model!$Q$2:$Q$300,MATCH("Yes",Scoring_Model!$M$2:$M$300,0))),"No anchor found"))</f>
        <v/>
      </c>
      <c r="H174" s="2">
        <f>Scoring_Model!O174</f>
        <v/>
      </c>
      <c r="I174">
        <f>IF(A174="","",IF(D174&lt;&gt;"Low Movement","Stable mover - bundle optional","Pair this low-movement item with the suggested anchor"))</f>
        <v/>
      </c>
    </row>
    <row r="175">
      <c r="A175">
        <f>Scoring_Model!A175</f>
        <v/>
      </c>
      <c r="B175">
        <f>Scoring_Model!B175</f>
        <v/>
      </c>
      <c r="C175">
        <f>Scoring_Model!C175</f>
        <v/>
      </c>
      <c r="D175">
        <f>Scoring_Model!K175</f>
        <v/>
      </c>
      <c r="E175">
        <f>Scoring_Model!L175</f>
        <v/>
      </c>
      <c r="F175" s="2">
        <f>Scoring_Model!J175</f>
        <v/>
      </c>
      <c r="G175">
        <f>IF(D175&lt;&gt;"Low Movement","",IFERROR(XLOOKUP(C175&amp;"|anchor",Scoring_Model!$P$2:$P$300,Scoring_Model!$Q$2:$Q$300,INDEX(Scoring_Model!$Q$2:$Q$300,MATCH("Yes",Scoring_Model!$M$2:$M$300,0))),"No anchor found"))</f>
        <v/>
      </c>
      <c r="H175" s="2">
        <f>Scoring_Model!O175</f>
        <v/>
      </c>
      <c r="I175">
        <f>IF(A175="","",IF(D175&lt;&gt;"Low Movement","Stable mover - bundle optional","Pair this low-movement item with the suggested anchor"))</f>
        <v/>
      </c>
    </row>
    <row r="176">
      <c r="A176">
        <f>Scoring_Model!A176</f>
        <v/>
      </c>
      <c r="B176">
        <f>Scoring_Model!B176</f>
        <v/>
      </c>
      <c r="C176">
        <f>Scoring_Model!C176</f>
        <v/>
      </c>
      <c r="D176">
        <f>Scoring_Model!K176</f>
        <v/>
      </c>
      <c r="E176">
        <f>Scoring_Model!L176</f>
        <v/>
      </c>
      <c r="F176" s="2">
        <f>Scoring_Model!J176</f>
        <v/>
      </c>
      <c r="G176">
        <f>IF(D176&lt;&gt;"Low Movement","",IFERROR(XLOOKUP(C176&amp;"|anchor",Scoring_Model!$P$2:$P$300,Scoring_Model!$Q$2:$Q$300,INDEX(Scoring_Model!$Q$2:$Q$300,MATCH("Yes",Scoring_Model!$M$2:$M$300,0))),"No anchor found"))</f>
        <v/>
      </c>
      <c r="H176" s="2">
        <f>Scoring_Model!O176</f>
        <v/>
      </c>
      <c r="I176">
        <f>IF(A176="","",IF(D176&lt;&gt;"Low Movement","Stable mover - bundle optional","Pair this low-movement item with the suggested anchor"))</f>
        <v/>
      </c>
    </row>
    <row r="177">
      <c r="A177">
        <f>Scoring_Model!A177</f>
        <v/>
      </c>
      <c r="B177">
        <f>Scoring_Model!B177</f>
        <v/>
      </c>
      <c r="C177">
        <f>Scoring_Model!C177</f>
        <v/>
      </c>
      <c r="D177">
        <f>Scoring_Model!K177</f>
        <v/>
      </c>
      <c r="E177">
        <f>Scoring_Model!L177</f>
        <v/>
      </c>
      <c r="F177" s="2">
        <f>Scoring_Model!J177</f>
        <v/>
      </c>
      <c r="G177">
        <f>IF(D177&lt;&gt;"Low Movement","",IFERROR(XLOOKUP(C177&amp;"|anchor",Scoring_Model!$P$2:$P$300,Scoring_Model!$Q$2:$Q$300,INDEX(Scoring_Model!$Q$2:$Q$300,MATCH("Yes",Scoring_Model!$M$2:$M$300,0))),"No anchor found"))</f>
        <v/>
      </c>
      <c r="H177" s="2">
        <f>Scoring_Model!O177</f>
        <v/>
      </c>
      <c r="I177">
        <f>IF(A177="","",IF(D177&lt;&gt;"Low Movement","Stable mover - bundle optional","Pair this low-movement item with the suggested anchor"))</f>
        <v/>
      </c>
    </row>
    <row r="178">
      <c r="A178">
        <f>Scoring_Model!A178</f>
        <v/>
      </c>
      <c r="B178">
        <f>Scoring_Model!B178</f>
        <v/>
      </c>
      <c r="C178">
        <f>Scoring_Model!C178</f>
        <v/>
      </c>
      <c r="D178">
        <f>Scoring_Model!K178</f>
        <v/>
      </c>
      <c r="E178">
        <f>Scoring_Model!L178</f>
        <v/>
      </c>
      <c r="F178" s="2">
        <f>Scoring_Model!J178</f>
        <v/>
      </c>
      <c r="G178">
        <f>IF(D178&lt;&gt;"Low Movement","",IFERROR(XLOOKUP(C178&amp;"|anchor",Scoring_Model!$P$2:$P$300,Scoring_Model!$Q$2:$Q$300,INDEX(Scoring_Model!$Q$2:$Q$300,MATCH("Yes",Scoring_Model!$M$2:$M$300,0))),"No anchor found"))</f>
        <v/>
      </c>
      <c r="H178" s="2">
        <f>Scoring_Model!O178</f>
        <v/>
      </c>
      <c r="I178">
        <f>IF(A178="","",IF(D178&lt;&gt;"Low Movement","Stable mover - bundle optional","Pair this low-movement item with the suggested anchor"))</f>
        <v/>
      </c>
    </row>
    <row r="179">
      <c r="A179">
        <f>Scoring_Model!A179</f>
        <v/>
      </c>
      <c r="B179">
        <f>Scoring_Model!B179</f>
        <v/>
      </c>
      <c r="C179">
        <f>Scoring_Model!C179</f>
        <v/>
      </c>
      <c r="D179">
        <f>Scoring_Model!K179</f>
        <v/>
      </c>
      <c r="E179">
        <f>Scoring_Model!L179</f>
        <v/>
      </c>
      <c r="F179" s="2">
        <f>Scoring_Model!J179</f>
        <v/>
      </c>
      <c r="G179">
        <f>IF(D179&lt;&gt;"Low Movement","",IFERROR(XLOOKUP(C179&amp;"|anchor",Scoring_Model!$P$2:$P$300,Scoring_Model!$Q$2:$Q$300,INDEX(Scoring_Model!$Q$2:$Q$300,MATCH("Yes",Scoring_Model!$M$2:$M$300,0))),"No anchor found"))</f>
        <v/>
      </c>
      <c r="H179" s="2">
        <f>Scoring_Model!O179</f>
        <v/>
      </c>
      <c r="I179">
        <f>IF(A179="","",IF(D179&lt;&gt;"Low Movement","Stable mover - bundle optional","Pair this low-movement item with the suggested anchor"))</f>
        <v/>
      </c>
    </row>
    <row r="180">
      <c r="A180">
        <f>Scoring_Model!A180</f>
        <v/>
      </c>
      <c r="B180">
        <f>Scoring_Model!B180</f>
        <v/>
      </c>
      <c r="C180">
        <f>Scoring_Model!C180</f>
        <v/>
      </c>
      <c r="D180">
        <f>Scoring_Model!K180</f>
        <v/>
      </c>
      <c r="E180">
        <f>Scoring_Model!L180</f>
        <v/>
      </c>
      <c r="F180" s="2">
        <f>Scoring_Model!J180</f>
        <v/>
      </c>
      <c r="G180">
        <f>IF(D180&lt;&gt;"Low Movement","",IFERROR(XLOOKUP(C180&amp;"|anchor",Scoring_Model!$P$2:$P$300,Scoring_Model!$Q$2:$Q$300,INDEX(Scoring_Model!$Q$2:$Q$300,MATCH("Yes",Scoring_Model!$M$2:$M$300,0))),"No anchor found"))</f>
        <v/>
      </c>
      <c r="H180" s="2">
        <f>Scoring_Model!O180</f>
        <v/>
      </c>
      <c r="I180">
        <f>IF(A180="","",IF(D180&lt;&gt;"Low Movement","Stable mover - bundle optional","Pair this low-movement item with the suggested anchor"))</f>
        <v/>
      </c>
    </row>
    <row r="181">
      <c r="A181">
        <f>Scoring_Model!A181</f>
        <v/>
      </c>
      <c r="B181">
        <f>Scoring_Model!B181</f>
        <v/>
      </c>
      <c r="C181">
        <f>Scoring_Model!C181</f>
        <v/>
      </c>
      <c r="D181">
        <f>Scoring_Model!K181</f>
        <v/>
      </c>
      <c r="E181">
        <f>Scoring_Model!L181</f>
        <v/>
      </c>
      <c r="F181" s="2">
        <f>Scoring_Model!J181</f>
        <v/>
      </c>
      <c r="G181">
        <f>IF(D181&lt;&gt;"Low Movement","",IFERROR(XLOOKUP(C181&amp;"|anchor",Scoring_Model!$P$2:$P$300,Scoring_Model!$Q$2:$Q$300,INDEX(Scoring_Model!$Q$2:$Q$300,MATCH("Yes",Scoring_Model!$M$2:$M$300,0))),"No anchor found"))</f>
        <v/>
      </c>
      <c r="H181" s="2">
        <f>Scoring_Model!O181</f>
        <v/>
      </c>
      <c r="I181">
        <f>IF(A181="","",IF(D181&lt;&gt;"Low Movement","Stable mover - bundle optional","Pair this low-movement item with the suggested anchor"))</f>
        <v/>
      </c>
    </row>
    <row r="182">
      <c r="A182">
        <f>Scoring_Model!A182</f>
        <v/>
      </c>
      <c r="B182">
        <f>Scoring_Model!B182</f>
        <v/>
      </c>
      <c r="C182">
        <f>Scoring_Model!C182</f>
        <v/>
      </c>
      <c r="D182">
        <f>Scoring_Model!K182</f>
        <v/>
      </c>
      <c r="E182">
        <f>Scoring_Model!L182</f>
        <v/>
      </c>
      <c r="F182" s="2">
        <f>Scoring_Model!J182</f>
        <v/>
      </c>
      <c r="G182">
        <f>IF(D182&lt;&gt;"Low Movement","",IFERROR(XLOOKUP(C182&amp;"|anchor",Scoring_Model!$P$2:$P$300,Scoring_Model!$Q$2:$Q$300,INDEX(Scoring_Model!$Q$2:$Q$300,MATCH("Yes",Scoring_Model!$M$2:$M$300,0))),"No anchor found"))</f>
        <v/>
      </c>
      <c r="H182" s="2">
        <f>Scoring_Model!O182</f>
        <v/>
      </c>
      <c r="I182">
        <f>IF(A182="","",IF(D182&lt;&gt;"Low Movement","Stable mover - bundle optional","Pair this low-movement item with the suggested anchor"))</f>
        <v/>
      </c>
    </row>
    <row r="183">
      <c r="A183">
        <f>Scoring_Model!A183</f>
        <v/>
      </c>
      <c r="B183">
        <f>Scoring_Model!B183</f>
        <v/>
      </c>
      <c r="C183">
        <f>Scoring_Model!C183</f>
        <v/>
      </c>
      <c r="D183">
        <f>Scoring_Model!K183</f>
        <v/>
      </c>
      <c r="E183">
        <f>Scoring_Model!L183</f>
        <v/>
      </c>
      <c r="F183" s="2">
        <f>Scoring_Model!J183</f>
        <v/>
      </c>
      <c r="G183">
        <f>IF(D183&lt;&gt;"Low Movement","",IFERROR(XLOOKUP(C183&amp;"|anchor",Scoring_Model!$P$2:$P$300,Scoring_Model!$Q$2:$Q$300,INDEX(Scoring_Model!$Q$2:$Q$300,MATCH("Yes",Scoring_Model!$M$2:$M$300,0))),"No anchor found"))</f>
        <v/>
      </c>
      <c r="H183" s="2">
        <f>Scoring_Model!O183</f>
        <v/>
      </c>
      <c r="I183">
        <f>IF(A183="","",IF(D183&lt;&gt;"Low Movement","Stable mover - bundle optional","Pair this low-movement item with the suggested anchor"))</f>
        <v/>
      </c>
    </row>
    <row r="184">
      <c r="A184">
        <f>Scoring_Model!A184</f>
        <v/>
      </c>
      <c r="B184">
        <f>Scoring_Model!B184</f>
        <v/>
      </c>
      <c r="C184">
        <f>Scoring_Model!C184</f>
        <v/>
      </c>
      <c r="D184">
        <f>Scoring_Model!K184</f>
        <v/>
      </c>
      <c r="E184">
        <f>Scoring_Model!L184</f>
        <v/>
      </c>
      <c r="F184" s="2">
        <f>Scoring_Model!J184</f>
        <v/>
      </c>
      <c r="G184">
        <f>IF(D184&lt;&gt;"Low Movement","",IFERROR(XLOOKUP(C184&amp;"|anchor",Scoring_Model!$P$2:$P$300,Scoring_Model!$Q$2:$Q$300,INDEX(Scoring_Model!$Q$2:$Q$300,MATCH("Yes",Scoring_Model!$M$2:$M$300,0))),"No anchor found"))</f>
        <v/>
      </c>
      <c r="H184" s="2">
        <f>Scoring_Model!O184</f>
        <v/>
      </c>
      <c r="I184">
        <f>IF(A184="","",IF(D184&lt;&gt;"Low Movement","Stable mover - bundle optional","Pair this low-movement item with the suggested anchor"))</f>
        <v/>
      </c>
    </row>
    <row r="185">
      <c r="A185">
        <f>Scoring_Model!A185</f>
        <v/>
      </c>
      <c r="B185">
        <f>Scoring_Model!B185</f>
        <v/>
      </c>
      <c r="C185">
        <f>Scoring_Model!C185</f>
        <v/>
      </c>
      <c r="D185">
        <f>Scoring_Model!K185</f>
        <v/>
      </c>
      <c r="E185">
        <f>Scoring_Model!L185</f>
        <v/>
      </c>
      <c r="F185" s="2">
        <f>Scoring_Model!J185</f>
        <v/>
      </c>
      <c r="G185">
        <f>IF(D185&lt;&gt;"Low Movement","",IFERROR(XLOOKUP(C185&amp;"|anchor",Scoring_Model!$P$2:$P$300,Scoring_Model!$Q$2:$Q$300,INDEX(Scoring_Model!$Q$2:$Q$300,MATCH("Yes",Scoring_Model!$M$2:$M$300,0))),"No anchor found"))</f>
        <v/>
      </c>
      <c r="H185" s="2">
        <f>Scoring_Model!O185</f>
        <v/>
      </c>
      <c r="I185">
        <f>IF(A185="","",IF(D185&lt;&gt;"Low Movement","Stable mover - bundle optional","Pair this low-movement item with the suggested anchor"))</f>
        <v/>
      </c>
    </row>
    <row r="186">
      <c r="A186">
        <f>Scoring_Model!A186</f>
        <v/>
      </c>
      <c r="B186">
        <f>Scoring_Model!B186</f>
        <v/>
      </c>
      <c r="C186">
        <f>Scoring_Model!C186</f>
        <v/>
      </c>
      <c r="D186">
        <f>Scoring_Model!K186</f>
        <v/>
      </c>
      <c r="E186">
        <f>Scoring_Model!L186</f>
        <v/>
      </c>
      <c r="F186" s="2">
        <f>Scoring_Model!J186</f>
        <v/>
      </c>
      <c r="G186">
        <f>IF(D186&lt;&gt;"Low Movement","",IFERROR(XLOOKUP(C186&amp;"|anchor",Scoring_Model!$P$2:$P$300,Scoring_Model!$Q$2:$Q$300,INDEX(Scoring_Model!$Q$2:$Q$300,MATCH("Yes",Scoring_Model!$M$2:$M$300,0))),"No anchor found"))</f>
        <v/>
      </c>
      <c r="H186" s="2">
        <f>Scoring_Model!O186</f>
        <v/>
      </c>
      <c r="I186">
        <f>IF(A186="","",IF(D186&lt;&gt;"Low Movement","Stable mover - bundle optional","Pair this low-movement item with the suggested anchor"))</f>
        <v/>
      </c>
    </row>
    <row r="187">
      <c r="A187">
        <f>Scoring_Model!A187</f>
        <v/>
      </c>
      <c r="B187">
        <f>Scoring_Model!B187</f>
        <v/>
      </c>
      <c r="C187">
        <f>Scoring_Model!C187</f>
        <v/>
      </c>
      <c r="D187">
        <f>Scoring_Model!K187</f>
        <v/>
      </c>
      <c r="E187">
        <f>Scoring_Model!L187</f>
        <v/>
      </c>
      <c r="F187" s="2">
        <f>Scoring_Model!J187</f>
        <v/>
      </c>
      <c r="G187">
        <f>IF(D187&lt;&gt;"Low Movement","",IFERROR(XLOOKUP(C187&amp;"|anchor",Scoring_Model!$P$2:$P$300,Scoring_Model!$Q$2:$Q$300,INDEX(Scoring_Model!$Q$2:$Q$300,MATCH("Yes",Scoring_Model!$M$2:$M$300,0))),"No anchor found"))</f>
        <v/>
      </c>
      <c r="H187" s="2">
        <f>Scoring_Model!O187</f>
        <v/>
      </c>
      <c r="I187">
        <f>IF(A187="","",IF(D187&lt;&gt;"Low Movement","Stable mover - bundle optional","Pair this low-movement item with the suggested anchor"))</f>
        <v/>
      </c>
    </row>
    <row r="188">
      <c r="A188">
        <f>Scoring_Model!A188</f>
        <v/>
      </c>
      <c r="B188">
        <f>Scoring_Model!B188</f>
        <v/>
      </c>
      <c r="C188">
        <f>Scoring_Model!C188</f>
        <v/>
      </c>
      <c r="D188">
        <f>Scoring_Model!K188</f>
        <v/>
      </c>
      <c r="E188">
        <f>Scoring_Model!L188</f>
        <v/>
      </c>
      <c r="F188" s="2">
        <f>Scoring_Model!J188</f>
        <v/>
      </c>
      <c r="G188">
        <f>IF(D188&lt;&gt;"Low Movement","",IFERROR(XLOOKUP(C188&amp;"|anchor",Scoring_Model!$P$2:$P$300,Scoring_Model!$Q$2:$Q$300,INDEX(Scoring_Model!$Q$2:$Q$300,MATCH("Yes",Scoring_Model!$M$2:$M$300,0))),"No anchor found"))</f>
        <v/>
      </c>
      <c r="H188" s="2">
        <f>Scoring_Model!O188</f>
        <v/>
      </c>
      <c r="I188">
        <f>IF(A188="","",IF(D188&lt;&gt;"Low Movement","Stable mover - bundle optional","Pair this low-movement item with the suggested anchor"))</f>
        <v/>
      </c>
    </row>
    <row r="189">
      <c r="A189">
        <f>Scoring_Model!A189</f>
        <v/>
      </c>
      <c r="B189">
        <f>Scoring_Model!B189</f>
        <v/>
      </c>
      <c r="C189">
        <f>Scoring_Model!C189</f>
        <v/>
      </c>
      <c r="D189">
        <f>Scoring_Model!K189</f>
        <v/>
      </c>
      <c r="E189">
        <f>Scoring_Model!L189</f>
        <v/>
      </c>
      <c r="F189" s="2">
        <f>Scoring_Model!J189</f>
        <v/>
      </c>
      <c r="G189">
        <f>IF(D189&lt;&gt;"Low Movement","",IFERROR(XLOOKUP(C189&amp;"|anchor",Scoring_Model!$P$2:$P$300,Scoring_Model!$Q$2:$Q$300,INDEX(Scoring_Model!$Q$2:$Q$300,MATCH("Yes",Scoring_Model!$M$2:$M$300,0))),"No anchor found"))</f>
        <v/>
      </c>
      <c r="H189" s="2">
        <f>Scoring_Model!O189</f>
        <v/>
      </c>
      <c r="I189">
        <f>IF(A189="","",IF(D189&lt;&gt;"Low Movement","Stable mover - bundle optional","Pair this low-movement item with the suggested anchor"))</f>
        <v/>
      </c>
    </row>
    <row r="190">
      <c r="A190">
        <f>Scoring_Model!A190</f>
        <v/>
      </c>
      <c r="B190">
        <f>Scoring_Model!B190</f>
        <v/>
      </c>
      <c r="C190">
        <f>Scoring_Model!C190</f>
        <v/>
      </c>
      <c r="D190">
        <f>Scoring_Model!K190</f>
        <v/>
      </c>
      <c r="E190">
        <f>Scoring_Model!L190</f>
        <v/>
      </c>
      <c r="F190" s="2">
        <f>Scoring_Model!J190</f>
        <v/>
      </c>
      <c r="G190">
        <f>IF(D190&lt;&gt;"Low Movement","",IFERROR(XLOOKUP(C190&amp;"|anchor",Scoring_Model!$P$2:$P$300,Scoring_Model!$Q$2:$Q$300,INDEX(Scoring_Model!$Q$2:$Q$300,MATCH("Yes",Scoring_Model!$M$2:$M$300,0))),"No anchor found"))</f>
        <v/>
      </c>
      <c r="H190" s="2">
        <f>Scoring_Model!O190</f>
        <v/>
      </c>
      <c r="I190">
        <f>IF(A190="","",IF(D190&lt;&gt;"Low Movement","Stable mover - bundle optional","Pair this low-movement item with the suggested anchor"))</f>
        <v/>
      </c>
    </row>
    <row r="191">
      <c r="A191">
        <f>Scoring_Model!A191</f>
        <v/>
      </c>
      <c r="B191">
        <f>Scoring_Model!B191</f>
        <v/>
      </c>
      <c r="C191">
        <f>Scoring_Model!C191</f>
        <v/>
      </c>
      <c r="D191">
        <f>Scoring_Model!K191</f>
        <v/>
      </c>
      <c r="E191">
        <f>Scoring_Model!L191</f>
        <v/>
      </c>
      <c r="F191" s="2">
        <f>Scoring_Model!J191</f>
        <v/>
      </c>
      <c r="G191">
        <f>IF(D191&lt;&gt;"Low Movement","",IFERROR(XLOOKUP(C191&amp;"|anchor",Scoring_Model!$P$2:$P$300,Scoring_Model!$Q$2:$Q$300,INDEX(Scoring_Model!$Q$2:$Q$300,MATCH("Yes",Scoring_Model!$M$2:$M$300,0))),"No anchor found"))</f>
        <v/>
      </c>
      <c r="H191" s="2">
        <f>Scoring_Model!O191</f>
        <v/>
      </c>
      <c r="I191">
        <f>IF(A191="","",IF(D191&lt;&gt;"Low Movement","Stable mover - bundle optional","Pair this low-movement item with the suggested anchor"))</f>
        <v/>
      </c>
    </row>
    <row r="192">
      <c r="A192">
        <f>Scoring_Model!A192</f>
        <v/>
      </c>
      <c r="B192">
        <f>Scoring_Model!B192</f>
        <v/>
      </c>
      <c r="C192">
        <f>Scoring_Model!C192</f>
        <v/>
      </c>
      <c r="D192">
        <f>Scoring_Model!K192</f>
        <v/>
      </c>
      <c r="E192">
        <f>Scoring_Model!L192</f>
        <v/>
      </c>
      <c r="F192" s="2">
        <f>Scoring_Model!J192</f>
        <v/>
      </c>
      <c r="G192">
        <f>IF(D192&lt;&gt;"Low Movement","",IFERROR(XLOOKUP(C192&amp;"|anchor",Scoring_Model!$P$2:$P$300,Scoring_Model!$Q$2:$Q$300,INDEX(Scoring_Model!$Q$2:$Q$300,MATCH("Yes",Scoring_Model!$M$2:$M$300,0))),"No anchor found"))</f>
        <v/>
      </c>
      <c r="H192" s="2">
        <f>Scoring_Model!O192</f>
        <v/>
      </c>
      <c r="I192">
        <f>IF(A192="","",IF(D192&lt;&gt;"Low Movement","Stable mover - bundle optional","Pair this low-movement item with the suggested anchor"))</f>
        <v/>
      </c>
    </row>
    <row r="193">
      <c r="A193">
        <f>Scoring_Model!A193</f>
        <v/>
      </c>
      <c r="B193">
        <f>Scoring_Model!B193</f>
        <v/>
      </c>
      <c r="C193">
        <f>Scoring_Model!C193</f>
        <v/>
      </c>
      <c r="D193">
        <f>Scoring_Model!K193</f>
        <v/>
      </c>
      <c r="E193">
        <f>Scoring_Model!L193</f>
        <v/>
      </c>
      <c r="F193" s="2">
        <f>Scoring_Model!J193</f>
        <v/>
      </c>
      <c r="G193">
        <f>IF(D193&lt;&gt;"Low Movement","",IFERROR(XLOOKUP(C193&amp;"|anchor",Scoring_Model!$P$2:$P$300,Scoring_Model!$Q$2:$Q$300,INDEX(Scoring_Model!$Q$2:$Q$300,MATCH("Yes",Scoring_Model!$M$2:$M$300,0))),"No anchor found"))</f>
        <v/>
      </c>
      <c r="H193" s="2">
        <f>Scoring_Model!O193</f>
        <v/>
      </c>
      <c r="I193">
        <f>IF(A193="","",IF(D193&lt;&gt;"Low Movement","Stable mover - bundle optional","Pair this low-movement item with the suggested anchor"))</f>
        <v/>
      </c>
    </row>
    <row r="194">
      <c r="A194">
        <f>Scoring_Model!A194</f>
        <v/>
      </c>
      <c r="B194">
        <f>Scoring_Model!B194</f>
        <v/>
      </c>
      <c r="C194">
        <f>Scoring_Model!C194</f>
        <v/>
      </c>
      <c r="D194">
        <f>Scoring_Model!K194</f>
        <v/>
      </c>
      <c r="E194">
        <f>Scoring_Model!L194</f>
        <v/>
      </c>
      <c r="F194" s="2">
        <f>Scoring_Model!J194</f>
        <v/>
      </c>
      <c r="G194">
        <f>IF(D194&lt;&gt;"Low Movement","",IFERROR(XLOOKUP(C194&amp;"|anchor",Scoring_Model!$P$2:$P$300,Scoring_Model!$Q$2:$Q$300,INDEX(Scoring_Model!$Q$2:$Q$300,MATCH("Yes",Scoring_Model!$M$2:$M$300,0))),"No anchor found"))</f>
        <v/>
      </c>
      <c r="H194" s="2">
        <f>Scoring_Model!O194</f>
        <v/>
      </c>
      <c r="I194">
        <f>IF(A194="","",IF(D194&lt;&gt;"Low Movement","Stable mover - bundle optional","Pair this low-movement item with the suggested anchor"))</f>
        <v/>
      </c>
    </row>
    <row r="195">
      <c r="A195">
        <f>Scoring_Model!A195</f>
        <v/>
      </c>
      <c r="B195">
        <f>Scoring_Model!B195</f>
        <v/>
      </c>
      <c r="C195">
        <f>Scoring_Model!C195</f>
        <v/>
      </c>
      <c r="D195">
        <f>Scoring_Model!K195</f>
        <v/>
      </c>
      <c r="E195">
        <f>Scoring_Model!L195</f>
        <v/>
      </c>
      <c r="F195" s="2">
        <f>Scoring_Model!J195</f>
        <v/>
      </c>
      <c r="G195">
        <f>IF(D195&lt;&gt;"Low Movement","",IFERROR(XLOOKUP(C195&amp;"|anchor",Scoring_Model!$P$2:$P$300,Scoring_Model!$Q$2:$Q$300,INDEX(Scoring_Model!$Q$2:$Q$300,MATCH("Yes",Scoring_Model!$M$2:$M$300,0))),"No anchor found"))</f>
        <v/>
      </c>
      <c r="H195" s="2">
        <f>Scoring_Model!O195</f>
        <v/>
      </c>
      <c r="I195">
        <f>IF(A195="","",IF(D195&lt;&gt;"Low Movement","Stable mover - bundle optional","Pair this low-movement item with the suggested anchor"))</f>
        <v/>
      </c>
    </row>
    <row r="196">
      <c r="A196">
        <f>Scoring_Model!A196</f>
        <v/>
      </c>
      <c r="B196">
        <f>Scoring_Model!B196</f>
        <v/>
      </c>
      <c r="C196">
        <f>Scoring_Model!C196</f>
        <v/>
      </c>
      <c r="D196">
        <f>Scoring_Model!K196</f>
        <v/>
      </c>
      <c r="E196">
        <f>Scoring_Model!L196</f>
        <v/>
      </c>
      <c r="F196" s="2">
        <f>Scoring_Model!J196</f>
        <v/>
      </c>
      <c r="G196">
        <f>IF(D196&lt;&gt;"Low Movement","",IFERROR(XLOOKUP(C196&amp;"|anchor",Scoring_Model!$P$2:$P$300,Scoring_Model!$Q$2:$Q$300,INDEX(Scoring_Model!$Q$2:$Q$300,MATCH("Yes",Scoring_Model!$M$2:$M$300,0))),"No anchor found"))</f>
        <v/>
      </c>
      <c r="H196" s="2">
        <f>Scoring_Model!O196</f>
        <v/>
      </c>
      <c r="I196">
        <f>IF(A196="","",IF(D196&lt;&gt;"Low Movement","Stable mover - bundle optional","Pair this low-movement item with the suggested anchor"))</f>
        <v/>
      </c>
    </row>
    <row r="197">
      <c r="A197">
        <f>Scoring_Model!A197</f>
        <v/>
      </c>
      <c r="B197">
        <f>Scoring_Model!B197</f>
        <v/>
      </c>
      <c r="C197">
        <f>Scoring_Model!C197</f>
        <v/>
      </c>
      <c r="D197">
        <f>Scoring_Model!K197</f>
        <v/>
      </c>
      <c r="E197">
        <f>Scoring_Model!L197</f>
        <v/>
      </c>
      <c r="F197" s="2">
        <f>Scoring_Model!J197</f>
        <v/>
      </c>
      <c r="G197">
        <f>IF(D197&lt;&gt;"Low Movement","",IFERROR(XLOOKUP(C197&amp;"|anchor",Scoring_Model!$P$2:$P$300,Scoring_Model!$Q$2:$Q$300,INDEX(Scoring_Model!$Q$2:$Q$300,MATCH("Yes",Scoring_Model!$M$2:$M$300,0))),"No anchor found"))</f>
        <v/>
      </c>
      <c r="H197" s="2">
        <f>Scoring_Model!O197</f>
        <v/>
      </c>
      <c r="I197">
        <f>IF(A197="","",IF(D197&lt;&gt;"Low Movement","Stable mover - bundle optional","Pair this low-movement item with the suggested anchor"))</f>
        <v/>
      </c>
    </row>
    <row r="198">
      <c r="A198">
        <f>Scoring_Model!A198</f>
        <v/>
      </c>
      <c r="B198">
        <f>Scoring_Model!B198</f>
        <v/>
      </c>
      <c r="C198">
        <f>Scoring_Model!C198</f>
        <v/>
      </c>
      <c r="D198">
        <f>Scoring_Model!K198</f>
        <v/>
      </c>
      <c r="E198">
        <f>Scoring_Model!L198</f>
        <v/>
      </c>
      <c r="F198" s="2">
        <f>Scoring_Model!J198</f>
        <v/>
      </c>
      <c r="G198">
        <f>IF(D198&lt;&gt;"Low Movement","",IFERROR(XLOOKUP(C198&amp;"|anchor",Scoring_Model!$P$2:$P$300,Scoring_Model!$Q$2:$Q$300,INDEX(Scoring_Model!$Q$2:$Q$300,MATCH("Yes",Scoring_Model!$M$2:$M$300,0))),"No anchor found"))</f>
        <v/>
      </c>
      <c r="H198" s="2">
        <f>Scoring_Model!O198</f>
        <v/>
      </c>
      <c r="I198">
        <f>IF(A198="","",IF(D198&lt;&gt;"Low Movement","Stable mover - bundle optional","Pair this low-movement item with the suggested anchor"))</f>
        <v/>
      </c>
    </row>
    <row r="199">
      <c r="A199">
        <f>Scoring_Model!A199</f>
        <v/>
      </c>
      <c r="B199">
        <f>Scoring_Model!B199</f>
        <v/>
      </c>
      <c r="C199">
        <f>Scoring_Model!C199</f>
        <v/>
      </c>
      <c r="D199">
        <f>Scoring_Model!K199</f>
        <v/>
      </c>
      <c r="E199">
        <f>Scoring_Model!L199</f>
        <v/>
      </c>
      <c r="F199" s="2">
        <f>Scoring_Model!J199</f>
        <v/>
      </c>
      <c r="G199">
        <f>IF(D199&lt;&gt;"Low Movement","",IFERROR(XLOOKUP(C199&amp;"|anchor",Scoring_Model!$P$2:$P$300,Scoring_Model!$Q$2:$Q$300,INDEX(Scoring_Model!$Q$2:$Q$300,MATCH("Yes",Scoring_Model!$M$2:$M$300,0))),"No anchor found"))</f>
        <v/>
      </c>
      <c r="H199" s="2">
        <f>Scoring_Model!O199</f>
        <v/>
      </c>
      <c r="I199">
        <f>IF(A199="","",IF(D199&lt;&gt;"Low Movement","Stable mover - bundle optional","Pair this low-movement item with the suggested anchor"))</f>
        <v/>
      </c>
    </row>
    <row r="200">
      <c r="A200">
        <f>Scoring_Model!A200</f>
        <v/>
      </c>
      <c r="B200">
        <f>Scoring_Model!B200</f>
        <v/>
      </c>
      <c r="C200">
        <f>Scoring_Model!C200</f>
        <v/>
      </c>
      <c r="D200">
        <f>Scoring_Model!K200</f>
        <v/>
      </c>
      <c r="E200">
        <f>Scoring_Model!L200</f>
        <v/>
      </c>
      <c r="F200" s="2">
        <f>Scoring_Model!J200</f>
        <v/>
      </c>
      <c r="G200">
        <f>IF(D200&lt;&gt;"Low Movement","",IFERROR(XLOOKUP(C200&amp;"|anchor",Scoring_Model!$P$2:$P$300,Scoring_Model!$Q$2:$Q$300,INDEX(Scoring_Model!$Q$2:$Q$300,MATCH("Yes",Scoring_Model!$M$2:$M$300,0))),"No anchor found"))</f>
        <v/>
      </c>
      <c r="H200" s="2">
        <f>Scoring_Model!O200</f>
        <v/>
      </c>
      <c r="I200">
        <f>IF(A200="","",IF(D200&lt;&gt;"Low Movement","Stable mover - bundle optional","Pair this low-movement item with the suggested anchor"))</f>
        <v/>
      </c>
    </row>
    <row r="201">
      <c r="A201">
        <f>Scoring_Model!A201</f>
        <v/>
      </c>
      <c r="B201">
        <f>Scoring_Model!B201</f>
        <v/>
      </c>
      <c r="C201">
        <f>Scoring_Model!C201</f>
        <v/>
      </c>
      <c r="D201">
        <f>Scoring_Model!K201</f>
        <v/>
      </c>
      <c r="E201">
        <f>Scoring_Model!L201</f>
        <v/>
      </c>
      <c r="F201" s="2">
        <f>Scoring_Model!J201</f>
        <v/>
      </c>
      <c r="G201">
        <f>IF(D201&lt;&gt;"Low Movement","",IFERROR(XLOOKUP(C201&amp;"|anchor",Scoring_Model!$P$2:$P$300,Scoring_Model!$Q$2:$Q$300,INDEX(Scoring_Model!$Q$2:$Q$300,MATCH("Yes",Scoring_Model!$M$2:$M$300,0))),"No anchor found"))</f>
        <v/>
      </c>
      <c r="H201" s="2">
        <f>Scoring_Model!O201</f>
        <v/>
      </c>
      <c r="I201">
        <f>IF(A201="","",IF(D201&lt;&gt;"Low Movement","Stable mover - bundle optional","Pair this low-movement item with the suggested anchor"))</f>
        <v/>
      </c>
    </row>
    <row r="202">
      <c r="A202">
        <f>Scoring_Model!A202</f>
        <v/>
      </c>
      <c r="B202">
        <f>Scoring_Model!B202</f>
        <v/>
      </c>
      <c r="C202">
        <f>Scoring_Model!C202</f>
        <v/>
      </c>
      <c r="D202">
        <f>Scoring_Model!K202</f>
        <v/>
      </c>
      <c r="E202">
        <f>Scoring_Model!L202</f>
        <v/>
      </c>
      <c r="F202" s="2">
        <f>Scoring_Model!J202</f>
        <v/>
      </c>
      <c r="G202">
        <f>IF(D202&lt;&gt;"Low Movement","",IFERROR(XLOOKUP(C202&amp;"|anchor",Scoring_Model!$P$2:$P$300,Scoring_Model!$Q$2:$Q$300,INDEX(Scoring_Model!$Q$2:$Q$300,MATCH("Yes",Scoring_Model!$M$2:$M$300,0))),"No anchor found"))</f>
        <v/>
      </c>
      <c r="H202" s="2">
        <f>Scoring_Model!O202</f>
        <v/>
      </c>
      <c r="I202">
        <f>IF(A202="","",IF(D202&lt;&gt;"Low Movement","Stable mover - bundle optional","Pair this low-movement item with the suggested anchor"))</f>
        <v/>
      </c>
    </row>
    <row r="203">
      <c r="A203">
        <f>Scoring_Model!A203</f>
        <v/>
      </c>
      <c r="B203">
        <f>Scoring_Model!B203</f>
        <v/>
      </c>
      <c r="C203">
        <f>Scoring_Model!C203</f>
        <v/>
      </c>
      <c r="D203">
        <f>Scoring_Model!K203</f>
        <v/>
      </c>
      <c r="E203">
        <f>Scoring_Model!L203</f>
        <v/>
      </c>
      <c r="F203" s="2">
        <f>Scoring_Model!J203</f>
        <v/>
      </c>
      <c r="G203">
        <f>IF(D203&lt;&gt;"Low Movement","",IFERROR(XLOOKUP(C203&amp;"|anchor",Scoring_Model!$P$2:$P$300,Scoring_Model!$Q$2:$Q$300,INDEX(Scoring_Model!$Q$2:$Q$300,MATCH("Yes",Scoring_Model!$M$2:$M$300,0))),"No anchor found"))</f>
        <v/>
      </c>
      <c r="H203" s="2">
        <f>Scoring_Model!O203</f>
        <v/>
      </c>
      <c r="I203">
        <f>IF(A203="","",IF(D203&lt;&gt;"Low Movement","Stable mover - bundle optional","Pair this low-movement item with the suggested anchor"))</f>
        <v/>
      </c>
    </row>
    <row r="204">
      <c r="A204">
        <f>Scoring_Model!A204</f>
        <v/>
      </c>
      <c r="B204">
        <f>Scoring_Model!B204</f>
        <v/>
      </c>
      <c r="C204">
        <f>Scoring_Model!C204</f>
        <v/>
      </c>
      <c r="D204">
        <f>Scoring_Model!K204</f>
        <v/>
      </c>
      <c r="E204">
        <f>Scoring_Model!L204</f>
        <v/>
      </c>
      <c r="F204" s="2">
        <f>Scoring_Model!J204</f>
        <v/>
      </c>
      <c r="G204">
        <f>IF(D204&lt;&gt;"Low Movement","",IFERROR(XLOOKUP(C204&amp;"|anchor",Scoring_Model!$P$2:$P$300,Scoring_Model!$Q$2:$Q$300,INDEX(Scoring_Model!$Q$2:$Q$300,MATCH("Yes",Scoring_Model!$M$2:$M$300,0))),"No anchor found"))</f>
        <v/>
      </c>
      <c r="H204" s="2">
        <f>Scoring_Model!O204</f>
        <v/>
      </c>
      <c r="I204">
        <f>IF(A204="","",IF(D204&lt;&gt;"Low Movement","Stable mover - bundle optional","Pair this low-movement item with the suggested anchor"))</f>
        <v/>
      </c>
    </row>
    <row r="205">
      <c r="A205">
        <f>Scoring_Model!A205</f>
        <v/>
      </c>
      <c r="B205">
        <f>Scoring_Model!B205</f>
        <v/>
      </c>
      <c r="C205">
        <f>Scoring_Model!C205</f>
        <v/>
      </c>
      <c r="D205">
        <f>Scoring_Model!K205</f>
        <v/>
      </c>
      <c r="E205">
        <f>Scoring_Model!L205</f>
        <v/>
      </c>
      <c r="F205" s="2">
        <f>Scoring_Model!J205</f>
        <v/>
      </c>
      <c r="G205">
        <f>IF(D205&lt;&gt;"Low Movement","",IFERROR(XLOOKUP(C205&amp;"|anchor",Scoring_Model!$P$2:$P$300,Scoring_Model!$Q$2:$Q$300,INDEX(Scoring_Model!$Q$2:$Q$300,MATCH("Yes",Scoring_Model!$M$2:$M$300,0))),"No anchor found"))</f>
        <v/>
      </c>
      <c r="H205" s="2">
        <f>Scoring_Model!O205</f>
        <v/>
      </c>
      <c r="I205">
        <f>IF(A205="","",IF(D205&lt;&gt;"Low Movement","Stable mover - bundle optional","Pair this low-movement item with the suggested anchor"))</f>
        <v/>
      </c>
    </row>
    <row r="206">
      <c r="A206">
        <f>Scoring_Model!A206</f>
        <v/>
      </c>
      <c r="B206">
        <f>Scoring_Model!B206</f>
        <v/>
      </c>
      <c r="C206">
        <f>Scoring_Model!C206</f>
        <v/>
      </c>
      <c r="D206">
        <f>Scoring_Model!K206</f>
        <v/>
      </c>
      <c r="E206">
        <f>Scoring_Model!L206</f>
        <v/>
      </c>
      <c r="F206" s="2">
        <f>Scoring_Model!J206</f>
        <v/>
      </c>
      <c r="G206">
        <f>IF(D206&lt;&gt;"Low Movement","",IFERROR(XLOOKUP(C206&amp;"|anchor",Scoring_Model!$P$2:$P$300,Scoring_Model!$Q$2:$Q$300,INDEX(Scoring_Model!$Q$2:$Q$300,MATCH("Yes",Scoring_Model!$M$2:$M$300,0))),"No anchor found"))</f>
        <v/>
      </c>
      <c r="H206" s="2">
        <f>Scoring_Model!O206</f>
        <v/>
      </c>
      <c r="I206">
        <f>IF(A206="","",IF(D206&lt;&gt;"Low Movement","Stable mover - bundle optional","Pair this low-movement item with the suggested anchor"))</f>
        <v/>
      </c>
    </row>
    <row r="207">
      <c r="A207">
        <f>Scoring_Model!A207</f>
        <v/>
      </c>
      <c r="B207">
        <f>Scoring_Model!B207</f>
        <v/>
      </c>
      <c r="C207">
        <f>Scoring_Model!C207</f>
        <v/>
      </c>
      <c r="D207">
        <f>Scoring_Model!K207</f>
        <v/>
      </c>
      <c r="E207">
        <f>Scoring_Model!L207</f>
        <v/>
      </c>
      <c r="F207" s="2">
        <f>Scoring_Model!J207</f>
        <v/>
      </c>
      <c r="G207">
        <f>IF(D207&lt;&gt;"Low Movement","",IFERROR(XLOOKUP(C207&amp;"|anchor",Scoring_Model!$P$2:$P$300,Scoring_Model!$Q$2:$Q$300,INDEX(Scoring_Model!$Q$2:$Q$300,MATCH("Yes",Scoring_Model!$M$2:$M$300,0))),"No anchor found"))</f>
        <v/>
      </c>
      <c r="H207" s="2">
        <f>Scoring_Model!O207</f>
        <v/>
      </c>
      <c r="I207">
        <f>IF(A207="","",IF(D207&lt;&gt;"Low Movement","Stable mover - bundle optional","Pair this low-movement item with the suggested anchor"))</f>
        <v/>
      </c>
    </row>
    <row r="208">
      <c r="A208">
        <f>Scoring_Model!A208</f>
        <v/>
      </c>
      <c r="B208">
        <f>Scoring_Model!B208</f>
        <v/>
      </c>
      <c r="C208">
        <f>Scoring_Model!C208</f>
        <v/>
      </c>
      <c r="D208">
        <f>Scoring_Model!K208</f>
        <v/>
      </c>
      <c r="E208">
        <f>Scoring_Model!L208</f>
        <v/>
      </c>
      <c r="F208" s="2">
        <f>Scoring_Model!J208</f>
        <v/>
      </c>
      <c r="G208">
        <f>IF(D208&lt;&gt;"Low Movement","",IFERROR(XLOOKUP(C208&amp;"|anchor",Scoring_Model!$P$2:$P$300,Scoring_Model!$Q$2:$Q$300,INDEX(Scoring_Model!$Q$2:$Q$300,MATCH("Yes",Scoring_Model!$M$2:$M$300,0))),"No anchor found"))</f>
        <v/>
      </c>
      <c r="H208" s="2">
        <f>Scoring_Model!O208</f>
        <v/>
      </c>
      <c r="I208">
        <f>IF(A208="","",IF(D208&lt;&gt;"Low Movement","Stable mover - bundle optional","Pair this low-movement item with the suggested anchor"))</f>
        <v/>
      </c>
    </row>
    <row r="209">
      <c r="A209">
        <f>Scoring_Model!A209</f>
        <v/>
      </c>
      <c r="B209">
        <f>Scoring_Model!B209</f>
        <v/>
      </c>
      <c r="C209">
        <f>Scoring_Model!C209</f>
        <v/>
      </c>
      <c r="D209">
        <f>Scoring_Model!K209</f>
        <v/>
      </c>
      <c r="E209">
        <f>Scoring_Model!L209</f>
        <v/>
      </c>
      <c r="F209" s="2">
        <f>Scoring_Model!J209</f>
        <v/>
      </c>
      <c r="G209">
        <f>IF(D209&lt;&gt;"Low Movement","",IFERROR(XLOOKUP(C209&amp;"|anchor",Scoring_Model!$P$2:$P$300,Scoring_Model!$Q$2:$Q$300,INDEX(Scoring_Model!$Q$2:$Q$300,MATCH("Yes",Scoring_Model!$M$2:$M$300,0))),"No anchor found"))</f>
        <v/>
      </c>
      <c r="H209" s="2">
        <f>Scoring_Model!O209</f>
        <v/>
      </c>
      <c r="I209">
        <f>IF(A209="","",IF(D209&lt;&gt;"Low Movement","Stable mover - bundle optional","Pair this low-movement item with the suggested anchor"))</f>
        <v/>
      </c>
    </row>
    <row r="210">
      <c r="A210">
        <f>Scoring_Model!A210</f>
        <v/>
      </c>
      <c r="B210">
        <f>Scoring_Model!B210</f>
        <v/>
      </c>
      <c r="C210">
        <f>Scoring_Model!C210</f>
        <v/>
      </c>
      <c r="D210">
        <f>Scoring_Model!K210</f>
        <v/>
      </c>
      <c r="E210">
        <f>Scoring_Model!L210</f>
        <v/>
      </c>
      <c r="F210" s="2">
        <f>Scoring_Model!J210</f>
        <v/>
      </c>
      <c r="G210">
        <f>IF(D210&lt;&gt;"Low Movement","",IFERROR(XLOOKUP(C210&amp;"|anchor",Scoring_Model!$P$2:$P$300,Scoring_Model!$Q$2:$Q$300,INDEX(Scoring_Model!$Q$2:$Q$300,MATCH("Yes",Scoring_Model!$M$2:$M$300,0))),"No anchor found"))</f>
        <v/>
      </c>
      <c r="H210" s="2">
        <f>Scoring_Model!O210</f>
        <v/>
      </c>
      <c r="I210">
        <f>IF(A210="","",IF(D210&lt;&gt;"Low Movement","Stable mover - bundle optional","Pair this low-movement item with the suggested anchor"))</f>
        <v/>
      </c>
    </row>
    <row r="211">
      <c r="A211">
        <f>Scoring_Model!A211</f>
        <v/>
      </c>
      <c r="B211">
        <f>Scoring_Model!B211</f>
        <v/>
      </c>
      <c r="C211">
        <f>Scoring_Model!C211</f>
        <v/>
      </c>
      <c r="D211">
        <f>Scoring_Model!K211</f>
        <v/>
      </c>
      <c r="E211">
        <f>Scoring_Model!L211</f>
        <v/>
      </c>
      <c r="F211" s="2">
        <f>Scoring_Model!J211</f>
        <v/>
      </c>
      <c r="G211">
        <f>IF(D211&lt;&gt;"Low Movement","",IFERROR(XLOOKUP(C211&amp;"|anchor",Scoring_Model!$P$2:$P$300,Scoring_Model!$Q$2:$Q$300,INDEX(Scoring_Model!$Q$2:$Q$300,MATCH("Yes",Scoring_Model!$M$2:$M$300,0))),"No anchor found"))</f>
        <v/>
      </c>
      <c r="H211" s="2">
        <f>Scoring_Model!O211</f>
        <v/>
      </c>
      <c r="I211">
        <f>IF(A211="","",IF(D211&lt;&gt;"Low Movement","Stable mover - bundle optional","Pair this low-movement item with the suggested anchor"))</f>
        <v/>
      </c>
    </row>
    <row r="212">
      <c r="A212">
        <f>Scoring_Model!A212</f>
        <v/>
      </c>
      <c r="B212">
        <f>Scoring_Model!B212</f>
        <v/>
      </c>
      <c r="C212">
        <f>Scoring_Model!C212</f>
        <v/>
      </c>
      <c r="D212">
        <f>Scoring_Model!K212</f>
        <v/>
      </c>
      <c r="E212">
        <f>Scoring_Model!L212</f>
        <v/>
      </c>
      <c r="F212" s="2">
        <f>Scoring_Model!J212</f>
        <v/>
      </c>
      <c r="G212">
        <f>IF(D212&lt;&gt;"Low Movement","",IFERROR(XLOOKUP(C212&amp;"|anchor",Scoring_Model!$P$2:$P$300,Scoring_Model!$Q$2:$Q$300,INDEX(Scoring_Model!$Q$2:$Q$300,MATCH("Yes",Scoring_Model!$M$2:$M$300,0))),"No anchor found"))</f>
        <v/>
      </c>
      <c r="H212" s="2">
        <f>Scoring_Model!O212</f>
        <v/>
      </c>
      <c r="I212">
        <f>IF(A212="","",IF(D212&lt;&gt;"Low Movement","Stable mover - bundle optional","Pair this low-movement item with the suggested anchor"))</f>
        <v/>
      </c>
    </row>
    <row r="213">
      <c r="A213">
        <f>Scoring_Model!A213</f>
        <v/>
      </c>
      <c r="B213">
        <f>Scoring_Model!B213</f>
        <v/>
      </c>
      <c r="C213">
        <f>Scoring_Model!C213</f>
        <v/>
      </c>
      <c r="D213">
        <f>Scoring_Model!K213</f>
        <v/>
      </c>
      <c r="E213">
        <f>Scoring_Model!L213</f>
        <v/>
      </c>
      <c r="F213" s="2">
        <f>Scoring_Model!J213</f>
        <v/>
      </c>
      <c r="G213">
        <f>IF(D213&lt;&gt;"Low Movement","",IFERROR(XLOOKUP(C213&amp;"|anchor",Scoring_Model!$P$2:$P$300,Scoring_Model!$Q$2:$Q$300,INDEX(Scoring_Model!$Q$2:$Q$300,MATCH("Yes",Scoring_Model!$M$2:$M$300,0))),"No anchor found"))</f>
        <v/>
      </c>
      <c r="H213" s="2">
        <f>Scoring_Model!O213</f>
        <v/>
      </c>
      <c r="I213">
        <f>IF(A213="","",IF(D213&lt;&gt;"Low Movement","Stable mover - bundle optional","Pair this low-movement item with the suggested anchor"))</f>
        <v/>
      </c>
    </row>
    <row r="214">
      <c r="A214">
        <f>Scoring_Model!A214</f>
        <v/>
      </c>
      <c r="B214">
        <f>Scoring_Model!B214</f>
        <v/>
      </c>
      <c r="C214">
        <f>Scoring_Model!C214</f>
        <v/>
      </c>
      <c r="D214">
        <f>Scoring_Model!K214</f>
        <v/>
      </c>
      <c r="E214">
        <f>Scoring_Model!L214</f>
        <v/>
      </c>
      <c r="F214" s="2">
        <f>Scoring_Model!J214</f>
        <v/>
      </c>
      <c r="G214">
        <f>IF(D214&lt;&gt;"Low Movement","",IFERROR(XLOOKUP(C214&amp;"|anchor",Scoring_Model!$P$2:$P$300,Scoring_Model!$Q$2:$Q$300,INDEX(Scoring_Model!$Q$2:$Q$300,MATCH("Yes",Scoring_Model!$M$2:$M$300,0))),"No anchor found"))</f>
        <v/>
      </c>
      <c r="H214" s="2">
        <f>Scoring_Model!O214</f>
        <v/>
      </c>
      <c r="I214">
        <f>IF(A214="","",IF(D214&lt;&gt;"Low Movement","Stable mover - bundle optional","Pair this low-movement item with the suggested anchor"))</f>
        <v/>
      </c>
    </row>
    <row r="215">
      <c r="A215">
        <f>Scoring_Model!A215</f>
        <v/>
      </c>
      <c r="B215">
        <f>Scoring_Model!B215</f>
        <v/>
      </c>
      <c r="C215">
        <f>Scoring_Model!C215</f>
        <v/>
      </c>
      <c r="D215">
        <f>Scoring_Model!K215</f>
        <v/>
      </c>
      <c r="E215">
        <f>Scoring_Model!L215</f>
        <v/>
      </c>
      <c r="F215" s="2">
        <f>Scoring_Model!J215</f>
        <v/>
      </c>
      <c r="G215">
        <f>IF(D215&lt;&gt;"Low Movement","",IFERROR(XLOOKUP(C215&amp;"|anchor",Scoring_Model!$P$2:$P$300,Scoring_Model!$Q$2:$Q$300,INDEX(Scoring_Model!$Q$2:$Q$300,MATCH("Yes",Scoring_Model!$M$2:$M$300,0))),"No anchor found"))</f>
        <v/>
      </c>
      <c r="H215" s="2">
        <f>Scoring_Model!O215</f>
        <v/>
      </c>
      <c r="I215">
        <f>IF(A215="","",IF(D215&lt;&gt;"Low Movement","Stable mover - bundle optional","Pair this low-movement item with the suggested anchor"))</f>
        <v/>
      </c>
    </row>
    <row r="216">
      <c r="A216">
        <f>Scoring_Model!A216</f>
        <v/>
      </c>
      <c r="B216">
        <f>Scoring_Model!B216</f>
        <v/>
      </c>
      <c r="C216">
        <f>Scoring_Model!C216</f>
        <v/>
      </c>
      <c r="D216">
        <f>Scoring_Model!K216</f>
        <v/>
      </c>
      <c r="E216">
        <f>Scoring_Model!L216</f>
        <v/>
      </c>
      <c r="F216" s="2">
        <f>Scoring_Model!J216</f>
        <v/>
      </c>
      <c r="G216">
        <f>IF(D216&lt;&gt;"Low Movement","",IFERROR(XLOOKUP(C216&amp;"|anchor",Scoring_Model!$P$2:$P$300,Scoring_Model!$Q$2:$Q$300,INDEX(Scoring_Model!$Q$2:$Q$300,MATCH("Yes",Scoring_Model!$M$2:$M$300,0))),"No anchor found"))</f>
        <v/>
      </c>
      <c r="H216" s="2">
        <f>Scoring_Model!O216</f>
        <v/>
      </c>
      <c r="I216">
        <f>IF(A216="","",IF(D216&lt;&gt;"Low Movement","Stable mover - bundle optional","Pair this low-movement item with the suggested anchor"))</f>
        <v/>
      </c>
    </row>
    <row r="217">
      <c r="A217">
        <f>Scoring_Model!A217</f>
        <v/>
      </c>
      <c r="B217">
        <f>Scoring_Model!B217</f>
        <v/>
      </c>
      <c r="C217">
        <f>Scoring_Model!C217</f>
        <v/>
      </c>
      <c r="D217">
        <f>Scoring_Model!K217</f>
        <v/>
      </c>
      <c r="E217">
        <f>Scoring_Model!L217</f>
        <v/>
      </c>
      <c r="F217" s="2">
        <f>Scoring_Model!J217</f>
        <v/>
      </c>
      <c r="G217">
        <f>IF(D217&lt;&gt;"Low Movement","",IFERROR(XLOOKUP(C217&amp;"|anchor",Scoring_Model!$P$2:$P$300,Scoring_Model!$Q$2:$Q$300,INDEX(Scoring_Model!$Q$2:$Q$300,MATCH("Yes",Scoring_Model!$M$2:$M$300,0))),"No anchor found"))</f>
        <v/>
      </c>
      <c r="H217" s="2">
        <f>Scoring_Model!O217</f>
        <v/>
      </c>
      <c r="I217">
        <f>IF(A217="","",IF(D217&lt;&gt;"Low Movement","Stable mover - bundle optional","Pair this low-movement item with the suggested anchor"))</f>
        <v/>
      </c>
    </row>
    <row r="218">
      <c r="A218">
        <f>Scoring_Model!A218</f>
        <v/>
      </c>
      <c r="B218">
        <f>Scoring_Model!B218</f>
        <v/>
      </c>
      <c r="C218">
        <f>Scoring_Model!C218</f>
        <v/>
      </c>
      <c r="D218">
        <f>Scoring_Model!K218</f>
        <v/>
      </c>
      <c r="E218">
        <f>Scoring_Model!L218</f>
        <v/>
      </c>
      <c r="F218" s="2">
        <f>Scoring_Model!J218</f>
        <v/>
      </c>
      <c r="G218">
        <f>IF(D218&lt;&gt;"Low Movement","",IFERROR(XLOOKUP(C218&amp;"|anchor",Scoring_Model!$P$2:$P$300,Scoring_Model!$Q$2:$Q$300,INDEX(Scoring_Model!$Q$2:$Q$300,MATCH("Yes",Scoring_Model!$M$2:$M$300,0))),"No anchor found"))</f>
        <v/>
      </c>
      <c r="H218" s="2">
        <f>Scoring_Model!O218</f>
        <v/>
      </c>
      <c r="I218">
        <f>IF(A218="","",IF(D218&lt;&gt;"Low Movement","Stable mover - bundle optional","Pair this low-movement item with the suggested anchor"))</f>
        <v/>
      </c>
    </row>
    <row r="219">
      <c r="A219">
        <f>Scoring_Model!A219</f>
        <v/>
      </c>
      <c r="B219">
        <f>Scoring_Model!B219</f>
        <v/>
      </c>
      <c r="C219">
        <f>Scoring_Model!C219</f>
        <v/>
      </c>
      <c r="D219">
        <f>Scoring_Model!K219</f>
        <v/>
      </c>
      <c r="E219">
        <f>Scoring_Model!L219</f>
        <v/>
      </c>
      <c r="F219" s="2">
        <f>Scoring_Model!J219</f>
        <v/>
      </c>
      <c r="G219">
        <f>IF(D219&lt;&gt;"Low Movement","",IFERROR(XLOOKUP(C219&amp;"|anchor",Scoring_Model!$P$2:$P$300,Scoring_Model!$Q$2:$Q$300,INDEX(Scoring_Model!$Q$2:$Q$300,MATCH("Yes",Scoring_Model!$M$2:$M$300,0))),"No anchor found"))</f>
        <v/>
      </c>
      <c r="H219" s="2">
        <f>Scoring_Model!O219</f>
        <v/>
      </c>
      <c r="I219">
        <f>IF(A219="","",IF(D219&lt;&gt;"Low Movement","Stable mover - bundle optional","Pair this low-movement item with the suggested anchor"))</f>
        <v/>
      </c>
    </row>
    <row r="220">
      <c r="A220">
        <f>Scoring_Model!A220</f>
        <v/>
      </c>
      <c r="B220">
        <f>Scoring_Model!B220</f>
        <v/>
      </c>
      <c r="C220">
        <f>Scoring_Model!C220</f>
        <v/>
      </c>
      <c r="D220">
        <f>Scoring_Model!K220</f>
        <v/>
      </c>
      <c r="E220">
        <f>Scoring_Model!L220</f>
        <v/>
      </c>
      <c r="F220" s="2">
        <f>Scoring_Model!J220</f>
        <v/>
      </c>
      <c r="G220">
        <f>IF(D220&lt;&gt;"Low Movement","",IFERROR(XLOOKUP(C220&amp;"|anchor",Scoring_Model!$P$2:$P$300,Scoring_Model!$Q$2:$Q$300,INDEX(Scoring_Model!$Q$2:$Q$300,MATCH("Yes",Scoring_Model!$M$2:$M$300,0))),"No anchor found"))</f>
        <v/>
      </c>
      <c r="H220" s="2">
        <f>Scoring_Model!O220</f>
        <v/>
      </c>
      <c r="I220">
        <f>IF(A220="","",IF(D220&lt;&gt;"Low Movement","Stable mover - bundle optional","Pair this low-movement item with the suggested anchor"))</f>
        <v/>
      </c>
    </row>
    <row r="221">
      <c r="A221">
        <f>Scoring_Model!A221</f>
        <v/>
      </c>
      <c r="B221">
        <f>Scoring_Model!B221</f>
        <v/>
      </c>
      <c r="C221">
        <f>Scoring_Model!C221</f>
        <v/>
      </c>
      <c r="D221">
        <f>Scoring_Model!K221</f>
        <v/>
      </c>
      <c r="E221">
        <f>Scoring_Model!L221</f>
        <v/>
      </c>
      <c r="F221" s="2">
        <f>Scoring_Model!J221</f>
        <v/>
      </c>
      <c r="G221">
        <f>IF(D221&lt;&gt;"Low Movement","",IFERROR(XLOOKUP(C221&amp;"|anchor",Scoring_Model!$P$2:$P$300,Scoring_Model!$Q$2:$Q$300,INDEX(Scoring_Model!$Q$2:$Q$300,MATCH("Yes",Scoring_Model!$M$2:$M$300,0))),"No anchor found"))</f>
        <v/>
      </c>
      <c r="H221" s="2">
        <f>Scoring_Model!O221</f>
        <v/>
      </c>
      <c r="I221">
        <f>IF(A221="","",IF(D221&lt;&gt;"Low Movement","Stable mover - bundle optional","Pair this low-movement item with the suggested anchor"))</f>
        <v/>
      </c>
    </row>
    <row r="222">
      <c r="A222">
        <f>Scoring_Model!A222</f>
        <v/>
      </c>
      <c r="B222">
        <f>Scoring_Model!B222</f>
        <v/>
      </c>
      <c r="C222">
        <f>Scoring_Model!C222</f>
        <v/>
      </c>
      <c r="D222">
        <f>Scoring_Model!K222</f>
        <v/>
      </c>
      <c r="E222">
        <f>Scoring_Model!L222</f>
        <v/>
      </c>
      <c r="F222" s="2">
        <f>Scoring_Model!J222</f>
        <v/>
      </c>
      <c r="G222">
        <f>IF(D222&lt;&gt;"Low Movement","",IFERROR(XLOOKUP(C222&amp;"|anchor",Scoring_Model!$P$2:$P$300,Scoring_Model!$Q$2:$Q$300,INDEX(Scoring_Model!$Q$2:$Q$300,MATCH("Yes",Scoring_Model!$M$2:$M$300,0))),"No anchor found"))</f>
        <v/>
      </c>
      <c r="H222" s="2">
        <f>Scoring_Model!O222</f>
        <v/>
      </c>
      <c r="I222">
        <f>IF(A222="","",IF(D222&lt;&gt;"Low Movement","Stable mover - bundle optional","Pair this low-movement item with the suggested anchor"))</f>
        <v/>
      </c>
    </row>
    <row r="223">
      <c r="A223">
        <f>Scoring_Model!A223</f>
        <v/>
      </c>
      <c r="B223">
        <f>Scoring_Model!B223</f>
        <v/>
      </c>
      <c r="C223">
        <f>Scoring_Model!C223</f>
        <v/>
      </c>
      <c r="D223">
        <f>Scoring_Model!K223</f>
        <v/>
      </c>
      <c r="E223">
        <f>Scoring_Model!L223</f>
        <v/>
      </c>
      <c r="F223" s="2">
        <f>Scoring_Model!J223</f>
        <v/>
      </c>
      <c r="G223">
        <f>IF(D223&lt;&gt;"Low Movement","",IFERROR(XLOOKUP(C223&amp;"|anchor",Scoring_Model!$P$2:$P$300,Scoring_Model!$Q$2:$Q$300,INDEX(Scoring_Model!$Q$2:$Q$300,MATCH("Yes",Scoring_Model!$M$2:$M$300,0))),"No anchor found"))</f>
        <v/>
      </c>
      <c r="H223" s="2">
        <f>Scoring_Model!O223</f>
        <v/>
      </c>
      <c r="I223">
        <f>IF(A223="","",IF(D223&lt;&gt;"Low Movement","Stable mover - bundle optional","Pair this low-movement item with the suggested anchor"))</f>
        <v/>
      </c>
    </row>
    <row r="224">
      <c r="A224">
        <f>Scoring_Model!A224</f>
        <v/>
      </c>
      <c r="B224">
        <f>Scoring_Model!B224</f>
        <v/>
      </c>
      <c r="C224">
        <f>Scoring_Model!C224</f>
        <v/>
      </c>
      <c r="D224">
        <f>Scoring_Model!K224</f>
        <v/>
      </c>
      <c r="E224">
        <f>Scoring_Model!L224</f>
        <v/>
      </c>
      <c r="F224" s="2">
        <f>Scoring_Model!J224</f>
        <v/>
      </c>
      <c r="G224">
        <f>IF(D224&lt;&gt;"Low Movement","",IFERROR(XLOOKUP(C224&amp;"|anchor",Scoring_Model!$P$2:$P$300,Scoring_Model!$Q$2:$Q$300,INDEX(Scoring_Model!$Q$2:$Q$300,MATCH("Yes",Scoring_Model!$M$2:$M$300,0))),"No anchor found"))</f>
        <v/>
      </c>
      <c r="H224" s="2">
        <f>Scoring_Model!O224</f>
        <v/>
      </c>
      <c r="I224">
        <f>IF(A224="","",IF(D224&lt;&gt;"Low Movement","Stable mover - bundle optional","Pair this low-movement item with the suggested anchor"))</f>
        <v/>
      </c>
    </row>
    <row r="225">
      <c r="A225">
        <f>Scoring_Model!A225</f>
        <v/>
      </c>
      <c r="B225">
        <f>Scoring_Model!B225</f>
        <v/>
      </c>
      <c r="C225">
        <f>Scoring_Model!C225</f>
        <v/>
      </c>
      <c r="D225">
        <f>Scoring_Model!K225</f>
        <v/>
      </c>
      <c r="E225">
        <f>Scoring_Model!L225</f>
        <v/>
      </c>
      <c r="F225" s="2">
        <f>Scoring_Model!J225</f>
        <v/>
      </c>
      <c r="G225">
        <f>IF(D225&lt;&gt;"Low Movement","",IFERROR(XLOOKUP(C225&amp;"|anchor",Scoring_Model!$P$2:$P$300,Scoring_Model!$Q$2:$Q$300,INDEX(Scoring_Model!$Q$2:$Q$300,MATCH("Yes",Scoring_Model!$M$2:$M$300,0))),"No anchor found"))</f>
        <v/>
      </c>
      <c r="H225" s="2">
        <f>Scoring_Model!O225</f>
        <v/>
      </c>
      <c r="I225">
        <f>IF(A225="","",IF(D225&lt;&gt;"Low Movement","Stable mover - bundle optional","Pair this low-movement item with the suggested anchor"))</f>
        <v/>
      </c>
    </row>
    <row r="226">
      <c r="A226">
        <f>Scoring_Model!A226</f>
        <v/>
      </c>
      <c r="B226">
        <f>Scoring_Model!B226</f>
        <v/>
      </c>
      <c r="C226">
        <f>Scoring_Model!C226</f>
        <v/>
      </c>
      <c r="D226">
        <f>Scoring_Model!K226</f>
        <v/>
      </c>
      <c r="E226">
        <f>Scoring_Model!L226</f>
        <v/>
      </c>
      <c r="F226" s="2">
        <f>Scoring_Model!J226</f>
        <v/>
      </c>
      <c r="G226">
        <f>IF(D226&lt;&gt;"Low Movement","",IFERROR(XLOOKUP(C226&amp;"|anchor",Scoring_Model!$P$2:$P$300,Scoring_Model!$Q$2:$Q$300,INDEX(Scoring_Model!$Q$2:$Q$300,MATCH("Yes",Scoring_Model!$M$2:$M$300,0))),"No anchor found"))</f>
        <v/>
      </c>
      <c r="H226" s="2">
        <f>Scoring_Model!O226</f>
        <v/>
      </c>
      <c r="I226">
        <f>IF(A226="","",IF(D226&lt;&gt;"Low Movement","Stable mover - bundle optional","Pair this low-movement item with the suggested anchor"))</f>
        <v/>
      </c>
    </row>
    <row r="227">
      <c r="A227">
        <f>Scoring_Model!A227</f>
        <v/>
      </c>
      <c r="B227">
        <f>Scoring_Model!B227</f>
        <v/>
      </c>
      <c r="C227">
        <f>Scoring_Model!C227</f>
        <v/>
      </c>
      <c r="D227">
        <f>Scoring_Model!K227</f>
        <v/>
      </c>
      <c r="E227">
        <f>Scoring_Model!L227</f>
        <v/>
      </c>
      <c r="F227" s="2">
        <f>Scoring_Model!J227</f>
        <v/>
      </c>
      <c r="G227">
        <f>IF(D227&lt;&gt;"Low Movement","",IFERROR(XLOOKUP(C227&amp;"|anchor",Scoring_Model!$P$2:$P$300,Scoring_Model!$Q$2:$Q$300,INDEX(Scoring_Model!$Q$2:$Q$300,MATCH("Yes",Scoring_Model!$M$2:$M$300,0))),"No anchor found"))</f>
        <v/>
      </c>
      <c r="H227" s="2">
        <f>Scoring_Model!O227</f>
        <v/>
      </c>
      <c r="I227">
        <f>IF(A227="","",IF(D227&lt;&gt;"Low Movement","Stable mover - bundle optional","Pair this low-movement item with the suggested anchor"))</f>
        <v/>
      </c>
    </row>
    <row r="228">
      <c r="A228">
        <f>Scoring_Model!A228</f>
        <v/>
      </c>
      <c r="B228">
        <f>Scoring_Model!B228</f>
        <v/>
      </c>
      <c r="C228">
        <f>Scoring_Model!C228</f>
        <v/>
      </c>
      <c r="D228">
        <f>Scoring_Model!K228</f>
        <v/>
      </c>
      <c r="E228">
        <f>Scoring_Model!L228</f>
        <v/>
      </c>
      <c r="F228" s="2">
        <f>Scoring_Model!J228</f>
        <v/>
      </c>
      <c r="G228">
        <f>IF(D228&lt;&gt;"Low Movement","",IFERROR(XLOOKUP(C228&amp;"|anchor",Scoring_Model!$P$2:$P$300,Scoring_Model!$Q$2:$Q$300,INDEX(Scoring_Model!$Q$2:$Q$300,MATCH("Yes",Scoring_Model!$M$2:$M$300,0))),"No anchor found"))</f>
        <v/>
      </c>
      <c r="H228" s="2">
        <f>Scoring_Model!O228</f>
        <v/>
      </c>
      <c r="I228">
        <f>IF(A228="","",IF(D228&lt;&gt;"Low Movement","Stable mover - bundle optional","Pair this low-movement item with the suggested anchor"))</f>
        <v/>
      </c>
    </row>
    <row r="229">
      <c r="A229">
        <f>Scoring_Model!A229</f>
        <v/>
      </c>
      <c r="B229">
        <f>Scoring_Model!B229</f>
        <v/>
      </c>
      <c r="C229">
        <f>Scoring_Model!C229</f>
        <v/>
      </c>
      <c r="D229">
        <f>Scoring_Model!K229</f>
        <v/>
      </c>
      <c r="E229">
        <f>Scoring_Model!L229</f>
        <v/>
      </c>
      <c r="F229" s="2">
        <f>Scoring_Model!J229</f>
        <v/>
      </c>
      <c r="G229">
        <f>IF(D229&lt;&gt;"Low Movement","",IFERROR(XLOOKUP(C229&amp;"|anchor",Scoring_Model!$P$2:$P$300,Scoring_Model!$Q$2:$Q$300,INDEX(Scoring_Model!$Q$2:$Q$300,MATCH("Yes",Scoring_Model!$M$2:$M$300,0))),"No anchor found"))</f>
        <v/>
      </c>
      <c r="H229" s="2">
        <f>Scoring_Model!O229</f>
        <v/>
      </c>
      <c r="I229">
        <f>IF(A229="","",IF(D229&lt;&gt;"Low Movement","Stable mover - bundle optional","Pair this low-movement item with the suggested anchor"))</f>
        <v/>
      </c>
    </row>
    <row r="230">
      <c r="A230">
        <f>Scoring_Model!A230</f>
        <v/>
      </c>
      <c r="B230">
        <f>Scoring_Model!B230</f>
        <v/>
      </c>
      <c r="C230">
        <f>Scoring_Model!C230</f>
        <v/>
      </c>
      <c r="D230">
        <f>Scoring_Model!K230</f>
        <v/>
      </c>
      <c r="E230">
        <f>Scoring_Model!L230</f>
        <v/>
      </c>
      <c r="F230" s="2">
        <f>Scoring_Model!J230</f>
        <v/>
      </c>
      <c r="G230">
        <f>IF(D230&lt;&gt;"Low Movement","",IFERROR(XLOOKUP(C230&amp;"|anchor",Scoring_Model!$P$2:$P$300,Scoring_Model!$Q$2:$Q$300,INDEX(Scoring_Model!$Q$2:$Q$300,MATCH("Yes",Scoring_Model!$M$2:$M$300,0))),"No anchor found"))</f>
        <v/>
      </c>
      <c r="H230" s="2">
        <f>Scoring_Model!O230</f>
        <v/>
      </c>
      <c r="I230">
        <f>IF(A230="","",IF(D230&lt;&gt;"Low Movement","Stable mover - bundle optional","Pair this low-movement item with the suggested anchor"))</f>
        <v/>
      </c>
    </row>
    <row r="231">
      <c r="A231">
        <f>Scoring_Model!A231</f>
        <v/>
      </c>
      <c r="B231">
        <f>Scoring_Model!B231</f>
        <v/>
      </c>
      <c r="C231">
        <f>Scoring_Model!C231</f>
        <v/>
      </c>
      <c r="D231">
        <f>Scoring_Model!K231</f>
        <v/>
      </c>
      <c r="E231">
        <f>Scoring_Model!L231</f>
        <v/>
      </c>
      <c r="F231" s="2">
        <f>Scoring_Model!J231</f>
        <v/>
      </c>
      <c r="G231">
        <f>IF(D231&lt;&gt;"Low Movement","",IFERROR(XLOOKUP(C231&amp;"|anchor",Scoring_Model!$P$2:$P$300,Scoring_Model!$Q$2:$Q$300,INDEX(Scoring_Model!$Q$2:$Q$300,MATCH("Yes",Scoring_Model!$M$2:$M$300,0))),"No anchor found"))</f>
        <v/>
      </c>
      <c r="H231" s="2">
        <f>Scoring_Model!O231</f>
        <v/>
      </c>
      <c r="I231">
        <f>IF(A231="","",IF(D231&lt;&gt;"Low Movement","Stable mover - bundle optional","Pair this low-movement item with the suggested anchor"))</f>
        <v/>
      </c>
    </row>
    <row r="232">
      <c r="A232">
        <f>Scoring_Model!A232</f>
        <v/>
      </c>
      <c r="B232">
        <f>Scoring_Model!B232</f>
        <v/>
      </c>
      <c r="C232">
        <f>Scoring_Model!C232</f>
        <v/>
      </c>
      <c r="D232">
        <f>Scoring_Model!K232</f>
        <v/>
      </c>
      <c r="E232">
        <f>Scoring_Model!L232</f>
        <v/>
      </c>
      <c r="F232" s="2">
        <f>Scoring_Model!J232</f>
        <v/>
      </c>
      <c r="G232">
        <f>IF(D232&lt;&gt;"Low Movement","",IFERROR(XLOOKUP(C232&amp;"|anchor",Scoring_Model!$P$2:$P$300,Scoring_Model!$Q$2:$Q$300,INDEX(Scoring_Model!$Q$2:$Q$300,MATCH("Yes",Scoring_Model!$M$2:$M$300,0))),"No anchor found"))</f>
        <v/>
      </c>
      <c r="H232" s="2">
        <f>Scoring_Model!O232</f>
        <v/>
      </c>
      <c r="I232">
        <f>IF(A232="","",IF(D232&lt;&gt;"Low Movement","Stable mover - bundle optional","Pair this low-movement item with the suggested anchor"))</f>
        <v/>
      </c>
    </row>
    <row r="233">
      <c r="A233">
        <f>Scoring_Model!A233</f>
        <v/>
      </c>
      <c r="B233">
        <f>Scoring_Model!B233</f>
        <v/>
      </c>
      <c r="C233">
        <f>Scoring_Model!C233</f>
        <v/>
      </c>
      <c r="D233">
        <f>Scoring_Model!K233</f>
        <v/>
      </c>
      <c r="E233">
        <f>Scoring_Model!L233</f>
        <v/>
      </c>
      <c r="F233" s="2">
        <f>Scoring_Model!J233</f>
        <v/>
      </c>
      <c r="G233">
        <f>IF(D233&lt;&gt;"Low Movement","",IFERROR(XLOOKUP(C233&amp;"|anchor",Scoring_Model!$P$2:$P$300,Scoring_Model!$Q$2:$Q$300,INDEX(Scoring_Model!$Q$2:$Q$300,MATCH("Yes",Scoring_Model!$M$2:$M$300,0))),"No anchor found"))</f>
        <v/>
      </c>
      <c r="H233" s="2">
        <f>Scoring_Model!O233</f>
        <v/>
      </c>
      <c r="I233">
        <f>IF(A233="","",IF(D233&lt;&gt;"Low Movement","Stable mover - bundle optional","Pair this low-movement item with the suggested anchor"))</f>
        <v/>
      </c>
    </row>
    <row r="234">
      <c r="A234">
        <f>Scoring_Model!A234</f>
        <v/>
      </c>
      <c r="B234">
        <f>Scoring_Model!B234</f>
        <v/>
      </c>
      <c r="C234">
        <f>Scoring_Model!C234</f>
        <v/>
      </c>
      <c r="D234">
        <f>Scoring_Model!K234</f>
        <v/>
      </c>
      <c r="E234">
        <f>Scoring_Model!L234</f>
        <v/>
      </c>
      <c r="F234" s="2">
        <f>Scoring_Model!J234</f>
        <v/>
      </c>
      <c r="G234">
        <f>IF(D234&lt;&gt;"Low Movement","",IFERROR(XLOOKUP(C234&amp;"|anchor",Scoring_Model!$P$2:$P$300,Scoring_Model!$Q$2:$Q$300,INDEX(Scoring_Model!$Q$2:$Q$300,MATCH("Yes",Scoring_Model!$M$2:$M$300,0))),"No anchor found"))</f>
        <v/>
      </c>
      <c r="H234" s="2">
        <f>Scoring_Model!O234</f>
        <v/>
      </c>
      <c r="I234">
        <f>IF(A234="","",IF(D234&lt;&gt;"Low Movement","Stable mover - bundle optional","Pair this low-movement item with the suggested anchor"))</f>
        <v/>
      </c>
    </row>
    <row r="235">
      <c r="A235">
        <f>Scoring_Model!A235</f>
        <v/>
      </c>
      <c r="B235">
        <f>Scoring_Model!B235</f>
        <v/>
      </c>
      <c r="C235">
        <f>Scoring_Model!C235</f>
        <v/>
      </c>
      <c r="D235">
        <f>Scoring_Model!K235</f>
        <v/>
      </c>
      <c r="E235">
        <f>Scoring_Model!L235</f>
        <v/>
      </c>
      <c r="F235" s="2">
        <f>Scoring_Model!J235</f>
        <v/>
      </c>
      <c r="G235">
        <f>IF(D235&lt;&gt;"Low Movement","",IFERROR(XLOOKUP(C235&amp;"|anchor",Scoring_Model!$P$2:$P$300,Scoring_Model!$Q$2:$Q$300,INDEX(Scoring_Model!$Q$2:$Q$300,MATCH("Yes",Scoring_Model!$M$2:$M$300,0))),"No anchor found"))</f>
        <v/>
      </c>
      <c r="H235" s="2">
        <f>Scoring_Model!O235</f>
        <v/>
      </c>
      <c r="I235">
        <f>IF(A235="","",IF(D235&lt;&gt;"Low Movement","Stable mover - bundle optional","Pair this low-movement item with the suggested anchor"))</f>
        <v/>
      </c>
    </row>
    <row r="236">
      <c r="A236">
        <f>Scoring_Model!A236</f>
        <v/>
      </c>
      <c r="B236">
        <f>Scoring_Model!B236</f>
        <v/>
      </c>
      <c r="C236">
        <f>Scoring_Model!C236</f>
        <v/>
      </c>
      <c r="D236">
        <f>Scoring_Model!K236</f>
        <v/>
      </c>
      <c r="E236">
        <f>Scoring_Model!L236</f>
        <v/>
      </c>
      <c r="F236" s="2">
        <f>Scoring_Model!J236</f>
        <v/>
      </c>
      <c r="G236">
        <f>IF(D236&lt;&gt;"Low Movement","",IFERROR(XLOOKUP(C236&amp;"|anchor",Scoring_Model!$P$2:$P$300,Scoring_Model!$Q$2:$Q$300,INDEX(Scoring_Model!$Q$2:$Q$300,MATCH("Yes",Scoring_Model!$M$2:$M$300,0))),"No anchor found"))</f>
        <v/>
      </c>
      <c r="H236" s="2">
        <f>Scoring_Model!O236</f>
        <v/>
      </c>
      <c r="I236">
        <f>IF(A236="","",IF(D236&lt;&gt;"Low Movement","Stable mover - bundle optional","Pair this low-movement item with the suggested anchor"))</f>
        <v/>
      </c>
    </row>
    <row r="237">
      <c r="A237">
        <f>Scoring_Model!A237</f>
        <v/>
      </c>
      <c r="B237">
        <f>Scoring_Model!B237</f>
        <v/>
      </c>
      <c r="C237">
        <f>Scoring_Model!C237</f>
        <v/>
      </c>
      <c r="D237">
        <f>Scoring_Model!K237</f>
        <v/>
      </c>
      <c r="E237">
        <f>Scoring_Model!L237</f>
        <v/>
      </c>
      <c r="F237" s="2">
        <f>Scoring_Model!J237</f>
        <v/>
      </c>
      <c r="G237">
        <f>IF(D237&lt;&gt;"Low Movement","",IFERROR(XLOOKUP(C237&amp;"|anchor",Scoring_Model!$P$2:$P$300,Scoring_Model!$Q$2:$Q$300,INDEX(Scoring_Model!$Q$2:$Q$300,MATCH("Yes",Scoring_Model!$M$2:$M$300,0))),"No anchor found"))</f>
        <v/>
      </c>
      <c r="H237" s="2">
        <f>Scoring_Model!O237</f>
        <v/>
      </c>
      <c r="I237">
        <f>IF(A237="","",IF(D237&lt;&gt;"Low Movement","Stable mover - bundle optional","Pair this low-movement item with the suggested anchor"))</f>
        <v/>
      </c>
    </row>
    <row r="238">
      <c r="A238">
        <f>Scoring_Model!A238</f>
        <v/>
      </c>
      <c r="B238">
        <f>Scoring_Model!B238</f>
        <v/>
      </c>
      <c r="C238">
        <f>Scoring_Model!C238</f>
        <v/>
      </c>
      <c r="D238">
        <f>Scoring_Model!K238</f>
        <v/>
      </c>
      <c r="E238">
        <f>Scoring_Model!L238</f>
        <v/>
      </c>
      <c r="F238" s="2">
        <f>Scoring_Model!J238</f>
        <v/>
      </c>
      <c r="G238">
        <f>IF(D238&lt;&gt;"Low Movement","",IFERROR(XLOOKUP(C238&amp;"|anchor",Scoring_Model!$P$2:$P$300,Scoring_Model!$Q$2:$Q$300,INDEX(Scoring_Model!$Q$2:$Q$300,MATCH("Yes",Scoring_Model!$M$2:$M$300,0))),"No anchor found"))</f>
        <v/>
      </c>
      <c r="H238" s="2">
        <f>Scoring_Model!O238</f>
        <v/>
      </c>
      <c r="I238">
        <f>IF(A238="","",IF(D238&lt;&gt;"Low Movement","Stable mover - bundle optional","Pair this low-movement item with the suggested anchor"))</f>
        <v/>
      </c>
    </row>
    <row r="239">
      <c r="A239">
        <f>Scoring_Model!A239</f>
        <v/>
      </c>
      <c r="B239">
        <f>Scoring_Model!B239</f>
        <v/>
      </c>
      <c r="C239">
        <f>Scoring_Model!C239</f>
        <v/>
      </c>
      <c r="D239">
        <f>Scoring_Model!K239</f>
        <v/>
      </c>
      <c r="E239">
        <f>Scoring_Model!L239</f>
        <v/>
      </c>
      <c r="F239" s="2">
        <f>Scoring_Model!J239</f>
        <v/>
      </c>
      <c r="G239">
        <f>IF(D239&lt;&gt;"Low Movement","",IFERROR(XLOOKUP(C239&amp;"|anchor",Scoring_Model!$P$2:$P$300,Scoring_Model!$Q$2:$Q$300,INDEX(Scoring_Model!$Q$2:$Q$300,MATCH("Yes",Scoring_Model!$M$2:$M$300,0))),"No anchor found"))</f>
        <v/>
      </c>
      <c r="H239" s="2">
        <f>Scoring_Model!O239</f>
        <v/>
      </c>
      <c r="I239">
        <f>IF(A239="","",IF(D239&lt;&gt;"Low Movement","Stable mover - bundle optional","Pair this low-movement item with the suggested anchor"))</f>
        <v/>
      </c>
    </row>
    <row r="240">
      <c r="A240">
        <f>Scoring_Model!A240</f>
        <v/>
      </c>
      <c r="B240">
        <f>Scoring_Model!B240</f>
        <v/>
      </c>
      <c r="C240">
        <f>Scoring_Model!C240</f>
        <v/>
      </c>
      <c r="D240">
        <f>Scoring_Model!K240</f>
        <v/>
      </c>
      <c r="E240">
        <f>Scoring_Model!L240</f>
        <v/>
      </c>
      <c r="F240" s="2">
        <f>Scoring_Model!J240</f>
        <v/>
      </c>
      <c r="G240">
        <f>IF(D240&lt;&gt;"Low Movement","",IFERROR(XLOOKUP(C240&amp;"|anchor",Scoring_Model!$P$2:$P$300,Scoring_Model!$Q$2:$Q$300,INDEX(Scoring_Model!$Q$2:$Q$300,MATCH("Yes",Scoring_Model!$M$2:$M$300,0))),"No anchor found"))</f>
        <v/>
      </c>
      <c r="H240" s="2">
        <f>Scoring_Model!O240</f>
        <v/>
      </c>
      <c r="I240">
        <f>IF(A240="","",IF(D240&lt;&gt;"Low Movement","Stable mover - bundle optional","Pair this low-movement item with the suggested anchor"))</f>
        <v/>
      </c>
    </row>
    <row r="241">
      <c r="A241">
        <f>Scoring_Model!A241</f>
        <v/>
      </c>
      <c r="B241">
        <f>Scoring_Model!B241</f>
        <v/>
      </c>
      <c r="C241">
        <f>Scoring_Model!C241</f>
        <v/>
      </c>
      <c r="D241">
        <f>Scoring_Model!K241</f>
        <v/>
      </c>
      <c r="E241">
        <f>Scoring_Model!L241</f>
        <v/>
      </c>
      <c r="F241" s="2">
        <f>Scoring_Model!J241</f>
        <v/>
      </c>
      <c r="G241">
        <f>IF(D241&lt;&gt;"Low Movement","",IFERROR(XLOOKUP(C241&amp;"|anchor",Scoring_Model!$P$2:$P$300,Scoring_Model!$Q$2:$Q$300,INDEX(Scoring_Model!$Q$2:$Q$300,MATCH("Yes",Scoring_Model!$M$2:$M$300,0))),"No anchor found"))</f>
        <v/>
      </c>
      <c r="H241" s="2">
        <f>Scoring_Model!O241</f>
        <v/>
      </c>
      <c r="I241">
        <f>IF(A241="","",IF(D241&lt;&gt;"Low Movement","Stable mover - bundle optional","Pair this low-movement item with the suggested anchor"))</f>
        <v/>
      </c>
    </row>
    <row r="242">
      <c r="A242">
        <f>Scoring_Model!A242</f>
        <v/>
      </c>
      <c r="B242">
        <f>Scoring_Model!B242</f>
        <v/>
      </c>
      <c r="C242">
        <f>Scoring_Model!C242</f>
        <v/>
      </c>
      <c r="D242">
        <f>Scoring_Model!K242</f>
        <v/>
      </c>
      <c r="E242">
        <f>Scoring_Model!L242</f>
        <v/>
      </c>
      <c r="F242" s="2">
        <f>Scoring_Model!J242</f>
        <v/>
      </c>
      <c r="G242">
        <f>IF(D242&lt;&gt;"Low Movement","",IFERROR(XLOOKUP(C242&amp;"|anchor",Scoring_Model!$P$2:$P$300,Scoring_Model!$Q$2:$Q$300,INDEX(Scoring_Model!$Q$2:$Q$300,MATCH("Yes",Scoring_Model!$M$2:$M$300,0))),"No anchor found"))</f>
        <v/>
      </c>
      <c r="H242" s="2">
        <f>Scoring_Model!O242</f>
        <v/>
      </c>
      <c r="I242">
        <f>IF(A242="","",IF(D242&lt;&gt;"Low Movement","Stable mover - bundle optional","Pair this low-movement item with the suggested anchor"))</f>
        <v/>
      </c>
    </row>
    <row r="243">
      <c r="A243">
        <f>Scoring_Model!A243</f>
        <v/>
      </c>
      <c r="B243">
        <f>Scoring_Model!B243</f>
        <v/>
      </c>
      <c r="C243">
        <f>Scoring_Model!C243</f>
        <v/>
      </c>
      <c r="D243">
        <f>Scoring_Model!K243</f>
        <v/>
      </c>
      <c r="E243">
        <f>Scoring_Model!L243</f>
        <v/>
      </c>
      <c r="F243" s="2">
        <f>Scoring_Model!J243</f>
        <v/>
      </c>
      <c r="G243">
        <f>IF(D243&lt;&gt;"Low Movement","",IFERROR(XLOOKUP(C243&amp;"|anchor",Scoring_Model!$P$2:$P$300,Scoring_Model!$Q$2:$Q$300,INDEX(Scoring_Model!$Q$2:$Q$300,MATCH("Yes",Scoring_Model!$M$2:$M$300,0))),"No anchor found"))</f>
        <v/>
      </c>
      <c r="H243" s="2">
        <f>Scoring_Model!O243</f>
        <v/>
      </c>
      <c r="I243">
        <f>IF(A243="","",IF(D243&lt;&gt;"Low Movement","Stable mover - bundle optional","Pair this low-movement item with the suggested anchor"))</f>
        <v/>
      </c>
    </row>
    <row r="244">
      <c r="A244">
        <f>Scoring_Model!A244</f>
        <v/>
      </c>
      <c r="B244">
        <f>Scoring_Model!B244</f>
        <v/>
      </c>
      <c r="C244">
        <f>Scoring_Model!C244</f>
        <v/>
      </c>
      <c r="D244">
        <f>Scoring_Model!K244</f>
        <v/>
      </c>
      <c r="E244">
        <f>Scoring_Model!L244</f>
        <v/>
      </c>
      <c r="F244" s="2">
        <f>Scoring_Model!J244</f>
        <v/>
      </c>
      <c r="G244">
        <f>IF(D244&lt;&gt;"Low Movement","",IFERROR(XLOOKUP(C244&amp;"|anchor",Scoring_Model!$P$2:$P$300,Scoring_Model!$Q$2:$Q$300,INDEX(Scoring_Model!$Q$2:$Q$300,MATCH("Yes",Scoring_Model!$M$2:$M$300,0))),"No anchor found"))</f>
        <v/>
      </c>
      <c r="H244" s="2">
        <f>Scoring_Model!O244</f>
        <v/>
      </c>
      <c r="I244">
        <f>IF(A244="","",IF(D244&lt;&gt;"Low Movement","Stable mover - bundle optional","Pair this low-movement item with the suggested anchor"))</f>
        <v/>
      </c>
    </row>
    <row r="245">
      <c r="A245">
        <f>Scoring_Model!A245</f>
        <v/>
      </c>
      <c r="B245">
        <f>Scoring_Model!B245</f>
        <v/>
      </c>
      <c r="C245">
        <f>Scoring_Model!C245</f>
        <v/>
      </c>
      <c r="D245">
        <f>Scoring_Model!K245</f>
        <v/>
      </c>
      <c r="E245">
        <f>Scoring_Model!L245</f>
        <v/>
      </c>
      <c r="F245" s="2">
        <f>Scoring_Model!J245</f>
        <v/>
      </c>
      <c r="G245">
        <f>IF(D245&lt;&gt;"Low Movement","",IFERROR(XLOOKUP(C245&amp;"|anchor",Scoring_Model!$P$2:$P$300,Scoring_Model!$Q$2:$Q$300,INDEX(Scoring_Model!$Q$2:$Q$300,MATCH("Yes",Scoring_Model!$M$2:$M$300,0))),"No anchor found"))</f>
        <v/>
      </c>
      <c r="H245" s="2">
        <f>Scoring_Model!O245</f>
        <v/>
      </c>
      <c r="I245">
        <f>IF(A245="","",IF(D245&lt;&gt;"Low Movement","Stable mover - bundle optional","Pair this low-movement item with the suggested anchor"))</f>
        <v/>
      </c>
    </row>
    <row r="246">
      <c r="A246">
        <f>Scoring_Model!A246</f>
        <v/>
      </c>
      <c r="B246">
        <f>Scoring_Model!B246</f>
        <v/>
      </c>
      <c r="C246">
        <f>Scoring_Model!C246</f>
        <v/>
      </c>
      <c r="D246">
        <f>Scoring_Model!K246</f>
        <v/>
      </c>
      <c r="E246">
        <f>Scoring_Model!L246</f>
        <v/>
      </c>
      <c r="F246" s="2">
        <f>Scoring_Model!J246</f>
        <v/>
      </c>
      <c r="G246">
        <f>IF(D246&lt;&gt;"Low Movement","",IFERROR(XLOOKUP(C246&amp;"|anchor",Scoring_Model!$P$2:$P$300,Scoring_Model!$Q$2:$Q$300,INDEX(Scoring_Model!$Q$2:$Q$300,MATCH("Yes",Scoring_Model!$M$2:$M$300,0))),"No anchor found"))</f>
        <v/>
      </c>
      <c r="H246" s="2">
        <f>Scoring_Model!O246</f>
        <v/>
      </c>
      <c r="I246">
        <f>IF(A246="","",IF(D246&lt;&gt;"Low Movement","Stable mover - bundle optional","Pair this low-movement item with the suggested anchor"))</f>
        <v/>
      </c>
    </row>
    <row r="247">
      <c r="A247">
        <f>Scoring_Model!A247</f>
        <v/>
      </c>
      <c r="B247">
        <f>Scoring_Model!B247</f>
        <v/>
      </c>
      <c r="C247">
        <f>Scoring_Model!C247</f>
        <v/>
      </c>
      <c r="D247">
        <f>Scoring_Model!K247</f>
        <v/>
      </c>
      <c r="E247">
        <f>Scoring_Model!L247</f>
        <v/>
      </c>
      <c r="F247" s="2">
        <f>Scoring_Model!J247</f>
        <v/>
      </c>
      <c r="G247">
        <f>IF(D247&lt;&gt;"Low Movement","",IFERROR(XLOOKUP(C247&amp;"|anchor",Scoring_Model!$P$2:$P$300,Scoring_Model!$Q$2:$Q$300,INDEX(Scoring_Model!$Q$2:$Q$300,MATCH("Yes",Scoring_Model!$M$2:$M$300,0))),"No anchor found"))</f>
        <v/>
      </c>
      <c r="H247" s="2">
        <f>Scoring_Model!O247</f>
        <v/>
      </c>
      <c r="I247">
        <f>IF(A247="","",IF(D247&lt;&gt;"Low Movement","Stable mover - bundle optional","Pair this low-movement item with the suggested anchor"))</f>
        <v/>
      </c>
    </row>
    <row r="248">
      <c r="A248">
        <f>Scoring_Model!A248</f>
        <v/>
      </c>
      <c r="B248">
        <f>Scoring_Model!B248</f>
        <v/>
      </c>
      <c r="C248">
        <f>Scoring_Model!C248</f>
        <v/>
      </c>
      <c r="D248">
        <f>Scoring_Model!K248</f>
        <v/>
      </c>
      <c r="E248">
        <f>Scoring_Model!L248</f>
        <v/>
      </c>
      <c r="F248" s="2">
        <f>Scoring_Model!J248</f>
        <v/>
      </c>
      <c r="G248">
        <f>IF(D248&lt;&gt;"Low Movement","",IFERROR(XLOOKUP(C248&amp;"|anchor",Scoring_Model!$P$2:$P$300,Scoring_Model!$Q$2:$Q$300,INDEX(Scoring_Model!$Q$2:$Q$300,MATCH("Yes",Scoring_Model!$M$2:$M$300,0))),"No anchor found"))</f>
        <v/>
      </c>
      <c r="H248" s="2">
        <f>Scoring_Model!O248</f>
        <v/>
      </c>
      <c r="I248">
        <f>IF(A248="","",IF(D248&lt;&gt;"Low Movement","Stable mover - bundle optional","Pair this low-movement item with the suggested anchor"))</f>
        <v/>
      </c>
    </row>
    <row r="249">
      <c r="A249">
        <f>Scoring_Model!A249</f>
        <v/>
      </c>
      <c r="B249">
        <f>Scoring_Model!B249</f>
        <v/>
      </c>
      <c r="C249">
        <f>Scoring_Model!C249</f>
        <v/>
      </c>
      <c r="D249">
        <f>Scoring_Model!K249</f>
        <v/>
      </c>
      <c r="E249">
        <f>Scoring_Model!L249</f>
        <v/>
      </c>
      <c r="F249" s="2">
        <f>Scoring_Model!J249</f>
        <v/>
      </c>
      <c r="G249">
        <f>IF(D249&lt;&gt;"Low Movement","",IFERROR(XLOOKUP(C249&amp;"|anchor",Scoring_Model!$P$2:$P$300,Scoring_Model!$Q$2:$Q$300,INDEX(Scoring_Model!$Q$2:$Q$300,MATCH("Yes",Scoring_Model!$M$2:$M$300,0))),"No anchor found"))</f>
        <v/>
      </c>
      <c r="H249" s="2">
        <f>Scoring_Model!O249</f>
        <v/>
      </c>
      <c r="I249">
        <f>IF(A249="","",IF(D249&lt;&gt;"Low Movement","Stable mover - bundle optional","Pair this low-movement item with the suggested anchor"))</f>
        <v/>
      </c>
    </row>
    <row r="250">
      <c r="A250">
        <f>Scoring_Model!A250</f>
        <v/>
      </c>
      <c r="B250">
        <f>Scoring_Model!B250</f>
        <v/>
      </c>
      <c r="C250">
        <f>Scoring_Model!C250</f>
        <v/>
      </c>
      <c r="D250">
        <f>Scoring_Model!K250</f>
        <v/>
      </c>
      <c r="E250">
        <f>Scoring_Model!L250</f>
        <v/>
      </c>
      <c r="F250" s="2">
        <f>Scoring_Model!J250</f>
        <v/>
      </c>
      <c r="G250">
        <f>IF(D250&lt;&gt;"Low Movement","",IFERROR(XLOOKUP(C250&amp;"|anchor",Scoring_Model!$P$2:$P$300,Scoring_Model!$Q$2:$Q$300,INDEX(Scoring_Model!$Q$2:$Q$300,MATCH("Yes",Scoring_Model!$M$2:$M$300,0))),"No anchor found"))</f>
        <v/>
      </c>
      <c r="H250" s="2">
        <f>Scoring_Model!O250</f>
        <v/>
      </c>
      <c r="I250">
        <f>IF(A250="","",IF(D250&lt;&gt;"Low Movement","Stable mover - bundle optional","Pair this low-movement item with the suggested anchor"))</f>
        <v/>
      </c>
    </row>
    <row r="251">
      <c r="A251">
        <f>Scoring_Model!A251</f>
        <v/>
      </c>
      <c r="B251">
        <f>Scoring_Model!B251</f>
        <v/>
      </c>
      <c r="C251">
        <f>Scoring_Model!C251</f>
        <v/>
      </c>
      <c r="D251">
        <f>Scoring_Model!K251</f>
        <v/>
      </c>
      <c r="E251">
        <f>Scoring_Model!L251</f>
        <v/>
      </c>
      <c r="F251" s="2">
        <f>Scoring_Model!J251</f>
        <v/>
      </c>
      <c r="G251">
        <f>IF(D251&lt;&gt;"Low Movement","",IFERROR(XLOOKUP(C251&amp;"|anchor",Scoring_Model!$P$2:$P$300,Scoring_Model!$Q$2:$Q$300,INDEX(Scoring_Model!$Q$2:$Q$300,MATCH("Yes",Scoring_Model!$M$2:$M$300,0))),"No anchor found"))</f>
        <v/>
      </c>
      <c r="H251" s="2">
        <f>Scoring_Model!O251</f>
        <v/>
      </c>
      <c r="I251">
        <f>IF(A251="","",IF(D251&lt;&gt;"Low Movement","Stable mover - bundle optional","Pair this low-movement item with the suggested anchor"))</f>
        <v/>
      </c>
    </row>
    <row r="252">
      <c r="A252">
        <f>Scoring_Model!A252</f>
        <v/>
      </c>
      <c r="B252">
        <f>Scoring_Model!B252</f>
        <v/>
      </c>
      <c r="C252">
        <f>Scoring_Model!C252</f>
        <v/>
      </c>
      <c r="D252">
        <f>Scoring_Model!K252</f>
        <v/>
      </c>
      <c r="E252">
        <f>Scoring_Model!L252</f>
        <v/>
      </c>
      <c r="F252" s="2">
        <f>Scoring_Model!J252</f>
        <v/>
      </c>
      <c r="G252">
        <f>IF(D252&lt;&gt;"Low Movement","",IFERROR(XLOOKUP(C252&amp;"|anchor",Scoring_Model!$P$2:$P$300,Scoring_Model!$Q$2:$Q$300,INDEX(Scoring_Model!$Q$2:$Q$300,MATCH("Yes",Scoring_Model!$M$2:$M$300,0))),"No anchor found"))</f>
        <v/>
      </c>
      <c r="H252" s="2">
        <f>Scoring_Model!O252</f>
        <v/>
      </c>
      <c r="I252">
        <f>IF(A252="","",IF(D252&lt;&gt;"Low Movement","Stable mover - bundle optional","Pair this low-movement item with the suggested anchor"))</f>
        <v/>
      </c>
    </row>
    <row r="253">
      <c r="A253">
        <f>Scoring_Model!A253</f>
        <v/>
      </c>
      <c r="B253">
        <f>Scoring_Model!B253</f>
        <v/>
      </c>
      <c r="C253">
        <f>Scoring_Model!C253</f>
        <v/>
      </c>
      <c r="D253">
        <f>Scoring_Model!K253</f>
        <v/>
      </c>
      <c r="E253">
        <f>Scoring_Model!L253</f>
        <v/>
      </c>
      <c r="F253" s="2">
        <f>Scoring_Model!J253</f>
        <v/>
      </c>
      <c r="G253">
        <f>IF(D253&lt;&gt;"Low Movement","",IFERROR(XLOOKUP(C253&amp;"|anchor",Scoring_Model!$P$2:$P$300,Scoring_Model!$Q$2:$Q$300,INDEX(Scoring_Model!$Q$2:$Q$300,MATCH("Yes",Scoring_Model!$M$2:$M$300,0))),"No anchor found"))</f>
        <v/>
      </c>
      <c r="H253" s="2">
        <f>Scoring_Model!O253</f>
        <v/>
      </c>
      <c r="I253">
        <f>IF(A253="","",IF(D253&lt;&gt;"Low Movement","Stable mover - bundle optional","Pair this low-movement item with the suggested anchor"))</f>
        <v/>
      </c>
    </row>
    <row r="254">
      <c r="A254">
        <f>Scoring_Model!A254</f>
        <v/>
      </c>
      <c r="B254">
        <f>Scoring_Model!B254</f>
        <v/>
      </c>
      <c r="C254">
        <f>Scoring_Model!C254</f>
        <v/>
      </c>
      <c r="D254">
        <f>Scoring_Model!K254</f>
        <v/>
      </c>
      <c r="E254">
        <f>Scoring_Model!L254</f>
        <v/>
      </c>
      <c r="F254" s="2">
        <f>Scoring_Model!J254</f>
        <v/>
      </c>
      <c r="G254">
        <f>IF(D254&lt;&gt;"Low Movement","",IFERROR(XLOOKUP(C254&amp;"|anchor",Scoring_Model!$P$2:$P$300,Scoring_Model!$Q$2:$Q$300,INDEX(Scoring_Model!$Q$2:$Q$300,MATCH("Yes",Scoring_Model!$M$2:$M$300,0))),"No anchor found"))</f>
        <v/>
      </c>
      <c r="H254" s="2">
        <f>Scoring_Model!O254</f>
        <v/>
      </c>
      <c r="I254">
        <f>IF(A254="","",IF(D254&lt;&gt;"Low Movement","Stable mover - bundle optional","Pair this low-movement item with the suggested anchor"))</f>
        <v/>
      </c>
    </row>
    <row r="255">
      <c r="A255">
        <f>Scoring_Model!A255</f>
        <v/>
      </c>
      <c r="B255">
        <f>Scoring_Model!B255</f>
        <v/>
      </c>
      <c r="C255">
        <f>Scoring_Model!C255</f>
        <v/>
      </c>
      <c r="D255">
        <f>Scoring_Model!K255</f>
        <v/>
      </c>
      <c r="E255">
        <f>Scoring_Model!L255</f>
        <v/>
      </c>
      <c r="F255" s="2">
        <f>Scoring_Model!J255</f>
        <v/>
      </c>
      <c r="G255">
        <f>IF(D255&lt;&gt;"Low Movement","",IFERROR(XLOOKUP(C255&amp;"|anchor",Scoring_Model!$P$2:$P$300,Scoring_Model!$Q$2:$Q$300,INDEX(Scoring_Model!$Q$2:$Q$300,MATCH("Yes",Scoring_Model!$M$2:$M$300,0))),"No anchor found"))</f>
        <v/>
      </c>
      <c r="H255" s="2">
        <f>Scoring_Model!O255</f>
        <v/>
      </c>
      <c r="I255">
        <f>IF(A255="","",IF(D255&lt;&gt;"Low Movement","Stable mover - bundle optional","Pair this low-movement item with the suggested anchor"))</f>
        <v/>
      </c>
    </row>
    <row r="256">
      <c r="A256">
        <f>Scoring_Model!A256</f>
        <v/>
      </c>
      <c r="B256">
        <f>Scoring_Model!B256</f>
        <v/>
      </c>
      <c r="C256">
        <f>Scoring_Model!C256</f>
        <v/>
      </c>
      <c r="D256">
        <f>Scoring_Model!K256</f>
        <v/>
      </c>
      <c r="E256">
        <f>Scoring_Model!L256</f>
        <v/>
      </c>
      <c r="F256" s="2">
        <f>Scoring_Model!J256</f>
        <v/>
      </c>
      <c r="G256">
        <f>IF(D256&lt;&gt;"Low Movement","",IFERROR(XLOOKUP(C256&amp;"|anchor",Scoring_Model!$P$2:$P$300,Scoring_Model!$Q$2:$Q$300,INDEX(Scoring_Model!$Q$2:$Q$300,MATCH("Yes",Scoring_Model!$M$2:$M$300,0))),"No anchor found"))</f>
        <v/>
      </c>
      <c r="H256" s="2">
        <f>Scoring_Model!O256</f>
        <v/>
      </c>
      <c r="I256">
        <f>IF(A256="","",IF(D256&lt;&gt;"Low Movement","Stable mover - bundle optional","Pair this low-movement item with the suggested anchor"))</f>
        <v/>
      </c>
    </row>
    <row r="257">
      <c r="A257">
        <f>Scoring_Model!A257</f>
        <v/>
      </c>
      <c r="B257">
        <f>Scoring_Model!B257</f>
        <v/>
      </c>
      <c r="C257">
        <f>Scoring_Model!C257</f>
        <v/>
      </c>
      <c r="D257">
        <f>Scoring_Model!K257</f>
        <v/>
      </c>
      <c r="E257">
        <f>Scoring_Model!L257</f>
        <v/>
      </c>
      <c r="F257" s="2">
        <f>Scoring_Model!J257</f>
        <v/>
      </c>
      <c r="G257">
        <f>IF(D257&lt;&gt;"Low Movement","",IFERROR(XLOOKUP(C257&amp;"|anchor",Scoring_Model!$P$2:$P$300,Scoring_Model!$Q$2:$Q$300,INDEX(Scoring_Model!$Q$2:$Q$300,MATCH("Yes",Scoring_Model!$M$2:$M$300,0))),"No anchor found"))</f>
        <v/>
      </c>
      <c r="H257" s="2">
        <f>Scoring_Model!O257</f>
        <v/>
      </c>
      <c r="I257">
        <f>IF(A257="","",IF(D257&lt;&gt;"Low Movement","Stable mover - bundle optional","Pair this low-movement item with the suggested anchor"))</f>
        <v/>
      </c>
    </row>
    <row r="258">
      <c r="A258">
        <f>Scoring_Model!A258</f>
        <v/>
      </c>
      <c r="B258">
        <f>Scoring_Model!B258</f>
        <v/>
      </c>
      <c r="C258">
        <f>Scoring_Model!C258</f>
        <v/>
      </c>
      <c r="D258">
        <f>Scoring_Model!K258</f>
        <v/>
      </c>
      <c r="E258">
        <f>Scoring_Model!L258</f>
        <v/>
      </c>
      <c r="F258" s="2">
        <f>Scoring_Model!J258</f>
        <v/>
      </c>
      <c r="G258">
        <f>IF(D258&lt;&gt;"Low Movement","",IFERROR(XLOOKUP(C258&amp;"|anchor",Scoring_Model!$P$2:$P$300,Scoring_Model!$Q$2:$Q$300,INDEX(Scoring_Model!$Q$2:$Q$300,MATCH("Yes",Scoring_Model!$M$2:$M$300,0))),"No anchor found"))</f>
        <v/>
      </c>
      <c r="H258" s="2">
        <f>Scoring_Model!O258</f>
        <v/>
      </c>
      <c r="I258">
        <f>IF(A258="","",IF(D258&lt;&gt;"Low Movement","Stable mover - bundle optional","Pair this low-movement item with the suggested anchor"))</f>
        <v/>
      </c>
    </row>
    <row r="259">
      <c r="A259">
        <f>Scoring_Model!A259</f>
        <v/>
      </c>
      <c r="B259">
        <f>Scoring_Model!B259</f>
        <v/>
      </c>
      <c r="C259">
        <f>Scoring_Model!C259</f>
        <v/>
      </c>
      <c r="D259">
        <f>Scoring_Model!K259</f>
        <v/>
      </c>
      <c r="E259">
        <f>Scoring_Model!L259</f>
        <v/>
      </c>
      <c r="F259" s="2">
        <f>Scoring_Model!J259</f>
        <v/>
      </c>
      <c r="G259">
        <f>IF(D259&lt;&gt;"Low Movement","",IFERROR(XLOOKUP(C259&amp;"|anchor",Scoring_Model!$P$2:$P$300,Scoring_Model!$Q$2:$Q$300,INDEX(Scoring_Model!$Q$2:$Q$300,MATCH("Yes",Scoring_Model!$M$2:$M$300,0))),"No anchor found"))</f>
        <v/>
      </c>
      <c r="H259" s="2">
        <f>Scoring_Model!O259</f>
        <v/>
      </c>
      <c r="I259">
        <f>IF(A259="","",IF(D259&lt;&gt;"Low Movement","Stable mover - bundle optional","Pair this low-movement item with the suggested anchor"))</f>
        <v/>
      </c>
    </row>
    <row r="260">
      <c r="A260">
        <f>Scoring_Model!A260</f>
        <v/>
      </c>
      <c r="B260">
        <f>Scoring_Model!B260</f>
        <v/>
      </c>
      <c r="C260">
        <f>Scoring_Model!C260</f>
        <v/>
      </c>
      <c r="D260">
        <f>Scoring_Model!K260</f>
        <v/>
      </c>
      <c r="E260">
        <f>Scoring_Model!L260</f>
        <v/>
      </c>
      <c r="F260" s="2">
        <f>Scoring_Model!J260</f>
        <v/>
      </c>
      <c r="G260">
        <f>IF(D260&lt;&gt;"Low Movement","",IFERROR(XLOOKUP(C260&amp;"|anchor",Scoring_Model!$P$2:$P$300,Scoring_Model!$Q$2:$Q$300,INDEX(Scoring_Model!$Q$2:$Q$300,MATCH("Yes",Scoring_Model!$M$2:$M$300,0))),"No anchor found"))</f>
        <v/>
      </c>
      <c r="H260" s="2">
        <f>Scoring_Model!O260</f>
        <v/>
      </c>
      <c r="I260">
        <f>IF(A260="","",IF(D260&lt;&gt;"Low Movement","Stable mover - bundle optional","Pair this low-movement item with the suggested anchor"))</f>
        <v/>
      </c>
    </row>
    <row r="261">
      <c r="A261">
        <f>Scoring_Model!A261</f>
        <v/>
      </c>
      <c r="B261">
        <f>Scoring_Model!B261</f>
        <v/>
      </c>
      <c r="C261">
        <f>Scoring_Model!C261</f>
        <v/>
      </c>
      <c r="D261">
        <f>Scoring_Model!K261</f>
        <v/>
      </c>
      <c r="E261">
        <f>Scoring_Model!L261</f>
        <v/>
      </c>
      <c r="F261" s="2">
        <f>Scoring_Model!J261</f>
        <v/>
      </c>
      <c r="G261">
        <f>IF(D261&lt;&gt;"Low Movement","",IFERROR(XLOOKUP(C261&amp;"|anchor",Scoring_Model!$P$2:$P$300,Scoring_Model!$Q$2:$Q$300,INDEX(Scoring_Model!$Q$2:$Q$300,MATCH("Yes",Scoring_Model!$M$2:$M$300,0))),"No anchor found"))</f>
        <v/>
      </c>
      <c r="H261" s="2">
        <f>Scoring_Model!O261</f>
        <v/>
      </c>
      <c r="I261">
        <f>IF(A261="","",IF(D261&lt;&gt;"Low Movement","Stable mover - bundle optional","Pair this low-movement item with the suggested anchor"))</f>
        <v/>
      </c>
    </row>
    <row r="262">
      <c r="A262">
        <f>Scoring_Model!A262</f>
        <v/>
      </c>
      <c r="B262">
        <f>Scoring_Model!B262</f>
        <v/>
      </c>
      <c r="C262">
        <f>Scoring_Model!C262</f>
        <v/>
      </c>
      <c r="D262">
        <f>Scoring_Model!K262</f>
        <v/>
      </c>
      <c r="E262">
        <f>Scoring_Model!L262</f>
        <v/>
      </c>
      <c r="F262" s="2">
        <f>Scoring_Model!J262</f>
        <v/>
      </c>
      <c r="G262">
        <f>IF(D262&lt;&gt;"Low Movement","",IFERROR(XLOOKUP(C262&amp;"|anchor",Scoring_Model!$P$2:$P$300,Scoring_Model!$Q$2:$Q$300,INDEX(Scoring_Model!$Q$2:$Q$300,MATCH("Yes",Scoring_Model!$M$2:$M$300,0))),"No anchor found"))</f>
        <v/>
      </c>
      <c r="H262" s="2">
        <f>Scoring_Model!O262</f>
        <v/>
      </c>
      <c r="I262">
        <f>IF(A262="","",IF(D262&lt;&gt;"Low Movement","Stable mover - bundle optional","Pair this low-movement item with the suggested anchor"))</f>
        <v/>
      </c>
    </row>
    <row r="263">
      <c r="A263">
        <f>Scoring_Model!A263</f>
        <v/>
      </c>
      <c r="B263">
        <f>Scoring_Model!B263</f>
        <v/>
      </c>
      <c r="C263">
        <f>Scoring_Model!C263</f>
        <v/>
      </c>
      <c r="D263">
        <f>Scoring_Model!K263</f>
        <v/>
      </c>
      <c r="E263">
        <f>Scoring_Model!L263</f>
        <v/>
      </c>
      <c r="F263" s="2">
        <f>Scoring_Model!J263</f>
        <v/>
      </c>
      <c r="G263">
        <f>IF(D263&lt;&gt;"Low Movement","",IFERROR(XLOOKUP(C263&amp;"|anchor",Scoring_Model!$P$2:$P$300,Scoring_Model!$Q$2:$Q$300,INDEX(Scoring_Model!$Q$2:$Q$300,MATCH("Yes",Scoring_Model!$M$2:$M$300,0))),"No anchor found"))</f>
        <v/>
      </c>
      <c r="H263" s="2">
        <f>Scoring_Model!O263</f>
        <v/>
      </c>
      <c r="I263">
        <f>IF(A263="","",IF(D263&lt;&gt;"Low Movement","Stable mover - bundle optional","Pair this low-movement item with the suggested anchor"))</f>
        <v/>
      </c>
    </row>
    <row r="264">
      <c r="A264">
        <f>Scoring_Model!A264</f>
        <v/>
      </c>
      <c r="B264">
        <f>Scoring_Model!B264</f>
        <v/>
      </c>
      <c r="C264">
        <f>Scoring_Model!C264</f>
        <v/>
      </c>
      <c r="D264">
        <f>Scoring_Model!K264</f>
        <v/>
      </c>
      <c r="E264">
        <f>Scoring_Model!L264</f>
        <v/>
      </c>
      <c r="F264" s="2">
        <f>Scoring_Model!J264</f>
        <v/>
      </c>
      <c r="G264">
        <f>IF(D264&lt;&gt;"Low Movement","",IFERROR(XLOOKUP(C264&amp;"|anchor",Scoring_Model!$P$2:$P$300,Scoring_Model!$Q$2:$Q$300,INDEX(Scoring_Model!$Q$2:$Q$300,MATCH("Yes",Scoring_Model!$M$2:$M$300,0))),"No anchor found"))</f>
        <v/>
      </c>
      <c r="H264" s="2">
        <f>Scoring_Model!O264</f>
        <v/>
      </c>
      <c r="I264">
        <f>IF(A264="","",IF(D264&lt;&gt;"Low Movement","Stable mover - bundle optional","Pair this low-movement item with the suggested anchor"))</f>
        <v/>
      </c>
    </row>
    <row r="265">
      <c r="A265">
        <f>Scoring_Model!A265</f>
        <v/>
      </c>
      <c r="B265">
        <f>Scoring_Model!B265</f>
        <v/>
      </c>
      <c r="C265">
        <f>Scoring_Model!C265</f>
        <v/>
      </c>
      <c r="D265">
        <f>Scoring_Model!K265</f>
        <v/>
      </c>
      <c r="E265">
        <f>Scoring_Model!L265</f>
        <v/>
      </c>
      <c r="F265" s="2">
        <f>Scoring_Model!J265</f>
        <v/>
      </c>
      <c r="G265">
        <f>IF(D265&lt;&gt;"Low Movement","",IFERROR(XLOOKUP(C265&amp;"|anchor",Scoring_Model!$P$2:$P$300,Scoring_Model!$Q$2:$Q$300,INDEX(Scoring_Model!$Q$2:$Q$300,MATCH("Yes",Scoring_Model!$M$2:$M$300,0))),"No anchor found"))</f>
        <v/>
      </c>
      <c r="H265" s="2">
        <f>Scoring_Model!O265</f>
        <v/>
      </c>
      <c r="I265">
        <f>IF(A265="","",IF(D265&lt;&gt;"Low Movement","Stable mover - bundle optional","Pair this low-movement item with the suggested anchor"))</f>
        <v/>
      </c>
    </row>
    <row r="266">
      <c r="A266">
        <f>Scoring_Model!A266</f>
        <v/>
      </c>
      <c r="B266">
        <f>Scoring_Model!B266</f>
        <v/>
      </c>
      <c r="C266">
        <f>Scoring_Model!C266</f>
        <v/>
      </c>
      <c r="D266">
        <f>Scoring_Model!K266</f>
        <v/>
      </c>
      <c r="E266">
        <f>Scoring_Model!L266</f>
        <v/>
      </c>
      <c r="F266" s="2">
        <f>Scoring_Model!J266</f>
        <v/>
      </c>
      <c r="G266">
        <f>IF(D266&lt;&gt;"Low Movement","",IFERROR(XLOOKUP(C266&amp;"|anchor",Scoring_Model!$P$2:$P$300,Scoring_Model!$Q$2:$Q$300,INDEX(Scoring_Model!$Q$2:$Q$300,MATCH("Yes",Scoring_Model!$M$2:$M$300,0))),"No anchor found"))</f>
        <v/>
      </c>
      <c r="H266" s="2">
        <f>Scoring_Model!O266</f>
        <v/>
      </c>
      <c r="I266">
        <f>IF(A266="","",IF(D266&lt;&gt;"Low Movement","Stable mover - bundle optional","Pair this low-movement item with the suggested anchor"))</f>
        <v/>
      </c>
    </row>
    <row r="267">
      <c r="A267">
        <f>Scoring_Model!A267</f>
        <v/>
      </c>
      <c r="B267">
        <f>Scoring_Model!B267</f>
        <v/>
      </c>
      <c r="C267">
        <f>Scoring_Model!C267</f>
        <v/>
      </c>
      <c r="D267">
        <f>Scoring_Model!K267</f>
        <v/>
      </c>
      <c r="E267">
        <f>Scoring_Model!L267</f>
        <v/>
      </c>
      <c r="F267" s="2">
        <f>Scoring_Model!J267</f>
        <v/>
      </c>
      <c r="G267">
        <f>IF(D267&lt;&gt;"Low Movement","",IFERROR(XLOOKUP(C267&amp;"|anchor",Scoring_Model!$P$2:$P$300,Scoring_Model!$Q$2:$Q$300,INDEX(Scoring_Model!$Q$2:$Q$300,MATCH("Yes",Scoring_Model!$M$2:$M$300,0))),"No anchor found"))</f>
        <v/>
      </c>
      <c r="H267" s="2">
        <f>Scoring_Model!O267</f>
        <v/>
      </c>
      <c r="I267">
        <f>IF(A267="","",IF(D267&lt;&gt;"Low Movement","Stable mover - bundle optional","Pair this low-movement item with the suggested anchor"))</f>
        <v/>
      </c>
    </row>
    <row r="268">
      <c r="A268">
        <f>Scoring_Model!A268</f>
        <v/>
      </c>
      <c r="B268">
        <f>Scoring_Model!B268</f>
        <v/>
      </c>
      <c r="C268">
        <f>Scoring_Model!C268</f>
        <v/>
      </c>
      <c r="D268">
        <f>Scoring_Model!K268</f>
        <v/>
      </c>
      <c r="E268">
        <f>Scoring_Model!L268</f>
        <v/>
      </c>
      <c r="F268" s="2">
        <f>Scoring_Model!J268</f>
        <v/>
      </c>
      <c r="G268">
        <f>IF(D268&lt;&gt;"Low Movement","",IFERROR(XLOOKUP(C268&amp;"|anchor",Scoring_Model!$P$2:$P$300,Scoring_Model!$Q$2:$Q$300,INDEX(Scoring_Model!$Q$2:$Q$300,MATCH("Yes",Scoring_Model!$M$2:$M$300,0))),"No anchor found"))</f>
        <v/>
      </c>
      <c r="H268" s="2">
        <f>Scoring_Model!O268</f>
        <v/>
      </c>
      <c r="I268">
        <f>IF(A268="","",IF(D268&lt;&gt;"Low Movement","Stable mover - bundle optional","Pair this low-movement item with the suggested anchor"))</f>
        <v/>
      </c>
    </row>
    <row r="269">
      <c r="A269">
        <f>Scoring_Model!A269</f>
        <v/>
      </c>
      <c r="B269">
        <f>Scoring_Model!B269</f>
        <v/>
      </c>
      <c r="C269">
        <f>Scoring_Model!C269</f>
        <v/>
      </c>
      <c r="D269">
        <f>Scoring_Model!K269</f>
        <v/>
      </c>
      <c r="E269">
        <f>Scoring_Model!L269</f>
        <v/>
      </c>
      <c r="F269" s="2">
        <f>Scoring_Model!J269</f>
        <v/>
      </c>
      <c r="G269">
        <f>IF(D269&lt;&gt;"Low Movement","",IFERROR(XLOOKUP(C269&amp;"|anchor",Scoring_Model!$P$2:$P$300,Scoring_Model!$Q$2:$Q$300,INDEX(Scoring_Model!$Q$2:$Q$300,MATCH("Yes",Scoring_Model!$M$2:$M$300,0))),"No anchor found"))</f>
        <v/>
      </c>
      <c r="H269" s="2">
        <f>Scoring_Model!O269</f>
        <v/>
      </c>
      <c r="I269">
        <f>IF(A269="","",IF(D269&lt;&gt;"Low Movement","Stable mover - bundle optional","Pair this low-movement item with the suggested anchor"))</f>
        <v/>
      </c>
    </row>
    <row r="270">
      <c r="A270">
        <f>Scoring_Model!A270</f>
        <v/>
      </c>
      <c r="B270">
        <f>Scoring_Model!B270</f>
        <v/>
      </c>
      <c r="C270">
        <f>Scoring_Model!C270</f>
        <v/>
      </c>
      <c r="D270">
        <f>Scoring_Model!K270</f>
        <v/>
      </c>
      <c r="E270">
        <f>Scoring_Model!L270</f>
        <v/>
      </c>
      <c r="F270" s="2">
        <f>Scoring_Model!J270</f>
        <v/>
      </c>
      <c r="G270">
        <f>IF(D270&lt;&gt;"Low Movement","",IFERROR(XLOOKUP(C270&amp;"|anchor",Scoring_Model!$P$2:$P$300,Scoring_Model!$Q$2:$Q$300,INDEX(Scoring_Model!$Q$2:$Q$300,MATCH("Yes",Scoring_Model!$M$2:$M$300,0))),"No anchor found"))</f>
        <v/>
      </c>
      <c r="H270" s="2">
        <f>Scoring_Model!O270</f>
        <v/>
      </c>
      <c r="I270">
        <f>IF(A270="","",IF(D270&lt;&gt;"Low Movement","Stable mover - bundle optional","Pair this low-movement item with the suggested anchor"))</f>
        <v/>
      </c>
    </row>
    <row r="271">
      <c r="A271">
        <f>Scoring_Model!A271</f>
        <v/>
      </c>
      <c r="B271">
        <f>Scoring_Model!B271</f>
        <v/>
      </c>
      <c r="C271">
        <f>Scoring_Model!C271</f>
        <v/>
      </c>
      <c r="D271">
        <f>Scoring_Model!K271</f>
        <v/>
      </c>
      <c r="E271">
        <f>Scoring_Model!L271</f>
        <v/>
      </c>
      <c r="F271" s="2">
        <f>Scoring_Model!J271</f>
        <v/>
      </c>
      <c r="G271">
        <f>IF(D271&lt;&gt;"Low Movement","",IFERROR(XLOOKUP(C271&amp;"|anchor",Scoring_Model!$P$2:$P$300,Scoring_Model!$Q$2:$Q$300,INDEX(Scoring_Model!$Q$2:$Q$300,MATCH("Yes",Scoring_Model!$M$2:$M$300,0))),"No anchor found"))</f>
        <v/>
      </c>
      <c r="H271" s="2">
        <f>Scoring_Model!O271</f>
        <v/>
      </c>
      <c r="I271">
        <f>IF(A271="","",IF(D271&lt;&gt;"Low Movement","Stable mover - bundle optional","Pair this low-movement item with the suggested anchor"))</f>
        <v/>
      </c>
    </row>
    <row r="272">
      <c r="A272">
        <f>Scoring_Model!A272</f>
        <v/>
      </c>
      <c r="B272">
        <f>Scoring_Model!B272</f>
        <v/>
      </c>
      <c r="C272">
        <f>Scoring_Model!C272</f>
        <v/>
      </c>
      <c r="D272">
        <f>Scoring_Model!K272</f>
        <v/>
      </c>
      <c r="E272">
        <f>Scoring_Model!L272</f>
        <v/>
      </c>
      <c r="F272" s="2">
        <f>Scoring_Model!J272</f>
        <v/>
      </c>
      <c r="G272">
        <f>IF(D272&lt;&gt;"Low Movement","",IFERROR(XLOOKUP(C272&amp;"|anchor",Scoring_Model!$P$2:$P$300,Scoring_Model!$Q$2:$Q$300,INDEX(Scoring_Model!$Q$2:$Q$300,MATCH("Yes",Scoring_Model!$M$2:$M$300,0))),"No anchor found"))</f>
        <v/>
      </c>
      <c r="H272" s="2">
        <f>Scoring_Model!O272</f>
        <v/>
      </c>
      <c r="I272">
        <f>IF(A272="","",IF(D272&lt;&gt;"Low Movement","Stable mover - bundle optional","Pair this low-movement item with the suggested anchor"))</f>
        <v/>
      </c>
    </row>
    <row r="273">
      <c r="A273">
        <f>Scoring_Model!A273</f>
        <v/>
      </c>
      <c r="B273">
        <f>Scoring_Model!B273</f>
        <v/>
      </c>
      <c r="C273">
        <f>Scoring_Model!C273</f>
        <v/>
      </c>
      <c r="D273">
        <f>Scoring_Model!K273</f>
        <v/>
      </c>
      <c r="E273">
        <f>Scoring_Model!L273</f>
        <v/>
      </c>
      <c r="F273" s="2">
        <f>Scoring_Model!J273</f>
        <v/>
      </c>
      <c r="G273">
        <f>IF(D273&lt;&gt;"Low Movement","",IFERROR(XLOOKUP(C273&amp;"|anchor",Scoring_Model!$P$2:$P$300,Scoring_Model!$Q$2:$Q$300,INDEX(Scoring_Model!$Q$2:$Q$300,MATCH("Yes",Scoring_Model!$M$2:$M$300,0))),"No anchor found"))</f>
        <v/>
      </c>
      <c r="H273" s="2">
        <f>Scoring_Model!O273</f>
        <v/>
      </c>
      <c r="I273">
        <f>IF(A273="","",IF(D273&lt;&gt;"Low Movement","Stable mover - bundle optional","Pair this low-movement item with the suggested anchor"))</f>
        <v/>
      </c>
    </row>
    <row r="274">
      <c r="A274">
        <f>Scoring_Model!A274</f>
        <v/>
      </c>
      <c r="B274">
        <f>Scoring_Model!B274</f>
        <v/>
      </c>
      <c r="C274">
        <f>Scoring_Model!C274</f>
        <v/>
      </c>
      <c r="D274">
        <f>Scoring_Model!K274</f>
        <v/>
      </c>
      <c r="E274">
        <f>Scoring_Model!L274</f>
        <v/>
      </c>
      <c r="F274" s="2">
        <f>Scoring_Model!J274</f>
        <v/>
      </c>
      <c r="G274">
        <f>IF(D274&lt;&gt;"Low Movement","",IFERROR(XLOOKUP(C274&amp;"|anchor",Scoring_Model!$P$2:$P$300,Scoring_Model!$Q$2:$Q$300,INDEX(Scoring_Model!$Q$2:$Q$300,MATCH("Yes",Scoring_Model!$M$2:$M$300,0))),"No anchor found"))</f>
        <v/>
      </c>
      <c r="H274" s="2">
        <f>Scoring_Model!O274</f>
        <v/>
      </c>
      <c r="I274">
        <f>IF(A274="","",IF(D274&lt;&gt;"Low Movement","Stable mover - bundle optional","Pair this low-movement item with the suggested anchor"))</f>
        <v/>
      </c>
    </row>
    <row r="275">
      <c r="A275">
        <f>Scoring_Model!A275</f>
        <v/>
      </c>
      <c r="B275">
        <f>Scoring_Model!B275</f>
        <v/>
      </c>
      <c r="C275">
        <f>Scoring_Model!C275</f>
        <v/>
      </c>
      <c r="D275">
        <f>Scoring_Model!K275</f>
        <v/>
      </c>
      <c r="E275">
        <f>Scoring_Model!L275</f>
        <v/>
      </c>
      <c r="F275" s="2">
        <f>Scoring_Model!J275</f>
        <v/>
      </c>
      <c r="G275">
        <f>IF(D275&lt;&gt;"Low Movement","",IFERROR(XLOOKUP(C275&amp;"|anchor",Scoring_Model!$P$2:$P$300,Scoring_Model!$Q$2:$Q$300,INDEX(Scoring_Model!$Q$2:$Q$300,MATCH("Yes",Scoring_Model!$M$2:$M$300,0))),"No anchor found"))</f>
        <v/>
      </c>
      <c r="H275" s="2">
        <f>Scoring_Model!O275</f>
        <v/>
      </c>
      <c r="I275">
        <f>IF(A275="","",IF(D275&lt;&gt;"Low Movement","Stable mover - bundle optional","Pair this low-movement item with the suggested anchor"))</f>
        <v/>
      </c>
    </row>
    <row r="276">
      <c r="A276">
        <f>Scoring_Model!A276</f>
        <v/>
      </c>
      <c r="B276">
        <f>Scoring_Model!B276</f>
        <v/>
      </c>
      <c r="C276">
        <f>Scoring_Model!C276</f>
        <v/>
      </c>
      <c r="D276">
        <f>Scoring_Model!K276</f>
        <v/>
      </c>
      <c r="E276">
        <f>Scoring_Model!L276</f>
        <v/>
      </c>
      <c r="F276" s="2">
        <f>Scoring_Model!J276</f>
        <v/>
      </c>
      <c r="G276">
        <f>IF(D276&lt;&gt;"Low Movement","",IFERROR(XLOOKUP(C276&amp;"|anchor",Scoring_Model!$P$2:$P$300,Scoring_Model!$Q$2:$Q$300,INDEX(Scoring_Model!$Q$2:$Q$300,MATCH("Yes",Scoring_Model!$M$2:$M$300,0))),"No anchor found"))</f>
        <v/>
      </c>
      <c r="H276" s="2">
        <f>Scoring_Model!O276</f>
        <v/>
      </c>
      <c r="I276">
        <f>IF(A276="","",IF(D276&lt;&gt;"Low Movement","Stable mover - bundle optional","Pair this low-movement item with the suggested anchor"))</f>
        <v/>
      </c>
    </row>
    <row r="277">
      <c r="A277">
        <f>Scoring_Model!A277</f>
        <v/>
      </c>
      <c r="B277">
        <f>Scoring_Model!B277</f>
        <v/>
      </c>
      <c r="C277">
        <f>Scoring_Model!C277</f>
        <v/>
      </c>
      <c r="D277">
        <f>Scoring_Model!K277</f>
        <v/>
      </c>
      <c r="E277">
        <f>Scoring_Model!L277</f>
        <v/>
      </c>
      <c r="F277" s="2">
        <f>Scoring_Model!J277</f>
        <v/>
      </c>
      <c r="G277">
        <f>IF(D277&lt;&gt;"Low Movement","",IFERROR(XLOOKUP(C277&amp;"|anchor",Scoring_Model!$P$2:$P$300,Scoring_Model!$Q$2:$Q$300,INDEX(Scoring_Model!$Q$2:$Q$300,MATCH("Yes",Scoring_Model!$M$2:$M$300,0))),"No anchor found"))</f>
        <v/>
      </c>
      <c r="H277" s="2">
        <f>Scoring_Model!O277</f>
        <v/>
      </c>
      <c r="I277">
        <f>IF(A277="","",IF(D277&lt;&gt;"Low Movement","Stable mover - bundle optional","Pair this low-movement item with the suggested anchor"))</f>
        <v/>
      </c>
    </row>
    <row r="278">
      <c r="A278">
        <f>Scoring_Model!A278</f>
        <v/>
      </c>
      <c r="B278">
        <f>Scoring_Model!B278</f>
        <v/>
      </c>
      <c r="C278">
        <f>Scoring_Model!C278</f>
        <v/>
      </c>
      <c r="D278">
        <f>Scoring_Model!K278</f>
        <v/>
      </c>
      <c r="E278">
        <f>Scoring_Model!L278</f>
        <v/>
      </c>
      <c r="F278" s="2">
        <f>Scoring_Model!J278</f>
        <v/>
      </c>
      <c r="G278">
        <f>IF(D278&lt;&gt;"Low Movement","",IFERROR(XLOOKUP(C278&amp;"|anchor",Scoring_Model!$P$2:$P$300,Scoring_Model!$Q$2:$Q$300,INDEX(Scoring_Model!$Q$2:$Q$300,MATCH("Yes",Scoring_Model!$M$2:$M$300,0))),"No anchor found"))</f>
        <v/>
      </c>
      <c r="H278" s="2">
        <f>Scoring_Model!O278</f>
        <v/>
      </c>
      <c r="I278">
        <f>IF(A278="","",IF(D278&lt;&gt;"Low Movement","Stable mover - bundle optional","Pair this low-movement item with the suggested anchor"))</f>
        <v/>
      </c>
    </row>
    <row r="279">
      <c r="A279">
        <f>Scoring_Model!A279</f>
        <v/>
      </c>
      <c r="B279">
        <f>Scoring_Model!B279</f>
        <v/>
      </c>
      <c r="C279">
        <f>Scoring_Model!C279</f>
        <v/>
      </c>
      <c r="D279">
        <f>Scoring_Model!K279</f>
        <v/>
      </c>
      <c r="E279">
        <f>Scoring_Model!L279</f>
        <v/>
      </c>
      <c r="F279" s="2">
        <f>Scoring_Model!J279</f>
        <v/>
      </c>
      <c r="G279">
        <f>IF(D279&lt;&gt;"Low Movement","",IFERROR(XLOOKUP(C279&amp;"|anchor",Scoring_Model!$P$2:$P$300,Scoring_Model!$Q$2:$Q$300,INDEX(Scoring_Model!$Q$2:$Q$300,MATCH("Yes",Scoring_Model!$M$2:$M$300,0))),"No anchor found"))</f>
        <v/>
      </c>
      <c r="H279" s="2">
        <f>Scoring_Model!O279</f>
        <v/>
      </c>
      <c r="I279">
        <f>IF(A279="","",IF(D279&lt;&gt;"Low Movement","Stable mover - bundle optional","Pair this low-movement item with the suggested anchor"))</f>
        <v/>
      </c>
    </row>
    <row r="280">
      <c r="A280">
        <f>Scoring_Model!A280</f>
        <v/>
      </c>
      <c r="B280">
        <f>Scoring_Model!B280</f>
        <v/>
      </c>
      <c r="C280">
        <f>Scoring_Model!C280</f>
        <v/>
      </c>
      <c r="D280">
        <f>Scoring_Model!K280</f>
        <v/>
      </c>
      <c r="E280">
        <f>Scoring_Model!L280</f>
        <v/>
      </c>
      <c r="F280" s="2">
        <f>Scoring_Model!J280</f>
        <v/>
      </c>
      <c r="G280">
        <f>IF(D280&lt;&gt;"Low Movement","",IFERROR(XLOOKUP(C280&amp;"|anchor",Scoring_Model!$P$2:$P$300,Scoring_Model!$Q$2:$Q$300,INDEX(Scoring_Model!$Q$2:$Q$300,MATCH("Yes",Scoring_Model!$M$2:$M$300,0))),"No anchor found"))</f>
        <v/>
      </c>
      <c r="H280" s="2">
        <f>Scoring_Model!O280</f>
        <v/>
      </c>
      <c r="I280">
        <f>IF(A280="","",IF(D280&lt;&gt;"Low Movement","Stable mover - bundle optional","Pair this low-movement item with the suggested anchor"))</f>
        <v/>
      </c>
    </row>
    <row r="281">
      <c r="A281">
        <f>Scoring_Model!A281</f>
        <v/>
      </c>
      <c r="B281">
        <f>Scoring_Model!B281</f>
        <v/>
      </c>
      <c r="C281">
        <f>Scoring_Model!C281</f>
        <v/>
      </c>
      <c r="D281">
        <f>Scoring_Model!K281</f>
        <v/>
      </c>
      <c r="E281">
        <f>Scoring_Model!L281</f>
        <v/>
      </c>
      <c r="F281" s="2">
        <f>Scoring_Model!J281</f>
        <v/>
      </c>
      <c r="G281">
        <f>IF(D281&lt;&gt;"Low Movement","",IFERROR(XLOOKUP(C281&amp;"|anchor",Scoring_Model!$P$2:$P$300,Scoring_Model!$Q$2:$Q$300,INDEX(Scoring_Model!$Q$2:$Q$300,MATCH("Yes",Scoring_Model!$M$2:$M$300,0))),"No anchor found"))</f>
        <v/>
      </c>
      <c r="H281" s="2">
        <f>Scoring_Model!O281</f>
        <v/>
      </c>
      <c r="I281">
        <f>IF(A281="","",IF(D281&lt;&gt;"Low Movement","Stable mover - bundle optional","Pair this low-movement item with the suggested anchor"))</f>
        <v/>
      </c>
    </row>
    <row r="282">
      <c r="A282">
        <f>Scoring_Model!A282</f>
        <v/>
      </c>
      <c r="B282">
        <f>Scoring_Model!B282</f>
        <v/>
      </c>
      <c r="C282">
        <f>Scoring_Model!C282</f>
        <v/>
      </c>
      <c r="D282">
        <f>Scoring_Model!K282</f>
        <v/>
      </c>
      <c r="E282">
        <f>Scoring_Model!L282</f>
        <v/>
      </c>
      <c r="F282" s="2">
        <f>Scoring_Model!J282</f>
        <v/>
      </c>
      <c r="G282">
        <f>IF(D282&lt;&gt;"Low Movement","",IFERROR(XLOOKUP(C282&amp;"|anchor",Scoring_Model!$P$2:$P$300,Scoring_Model!$Q$2:$Q$300,INDEX(Scoring_Model!$Q$2:$Q$300,MATCH("Yes",Scoring_Model!$M$2:$M$300,0))),"No anchor found"))</f>
        <v/>
      </c>
      <c r="H282" s="2">
        <f>Scoring_Model!O282</f>
        <v/>
      </c>
      <c r="I282">
        <f>IF(A282="","",IF(D282&lt;&gt;"Low Movement","Stable mover - bundle optional","Pair this low-movement item with the suggested anchor"))</f>
        <v/>
      </c>
    </row>
    <row r="283">
      <c r="A283">
        <f>Scoring_Model!A283</f>
        <v/>
      </c>
      <c r="B283">
        <f>Scoring_Model!B283</f>
        <v/>
      </c>
      <c r="C283">
        <f>Scoring_Model!C283</f>
        <v/>
      </c>
      <c r="D283">
        <f>Scoring_Model!K283</f>
        <v/>
      </c>
      <c r="E283">
        <f>Scoring_Model!L283</f>
        <v/>
      </c>
      <c r="F283" s="2">
        <f>Scoring_Model!J283</f>
        <v/>
      </c>
      <c r="G283">
        <f>IF(D283&lt;&gt;"Low Movement","",IFERROR(XLOOKUP(C283&amp;"|anchor",Scoring_Model!$P$2:$P$300,Scoring_Model!$Q$2:$Q$300,INDEX(Scoring_Model!$Q$2:$Q$300,MATCH("Yes",Scoring_Model!$M$2:$M$300,0))),"No anchor found"))</f>
        <v/>
      </c>
      <c r="H283" s="2">
        <f>Scoring_Model!O283</f>
        <v/>
      </c>
      <c r="I283">
        <f>IF(A283="","",IF(D283&lt;&gt;"Low Movement","Stable mover - bundle optional","Pair this low-movement item with the suggested anchor"))</f>
        <v/>
      </c>
    </row>
    <row r="284">
      <c r="A284">
        <f>Scoring_Model!A284</f>
        <v/>
      </c>
      <c r="B284">
        <f>Scoring_Model!B284</f>
        <v/>
      </c>
      <c r="C284">
        <f>Scoring_Model!C284</f>
        <v/>
      </c>
      <c r="D284">
        <f>Scoring_Model!K284</f>
        <v/>
      </c>
      <c r="E284">
        <f>Scoring_Model!L284</f>
        <v/>
      </c>
      <c r="F284" s="2">
        <f>Scoring_Model!J284</f>
        <v/>
      </c>
      <c r="G284">
        <f>IF(D284&lt;&gt;"Low Movement","",IFERROR(XLOOKUP(C284&amp;"|anchor",Scoring_Model!$P$2:$P$300,Scoring_Model!$Q$2:$Q$300,INDEX(Scoring_Model!$Q$2:$Q$300,MATCH("Yes",Scoring_Model!$M$2:$M$300,0))),"No anchor found"))</f>
        <v/>
      </c>
      <c r="H284" s="2">
        <f>Scoring_Model!O284</f>
        <v/>
      </c>
      <c r="I284">
        <f>IF(A284="","",IF(D284&lt;&gt;"Low Movement","Stable mover - bundle optional","Pair this low-movement item with the suggested anchor"))</f>
        <v/>
      </c>
    </row>
    <row r="285">
      <c r="A285">
        <f>Scoring_Model!A285</f>
        <v/>
      </c>
      <c r="B285">
        <f>Scoring_Model!B285</f>
        <v/>
      </c>
      <c r="C285">
        <f>Scoring_Model!C285</f>
        <v/>
      </c>
      <c r="D285">
        <f>Scoring_Model!K285</f>
        <v/>
      </c>
      <c r="E285">
        <f>Scoring_Model!L285</f>
        <v/>
      </c>
      <c r="F285" s="2">
        <f>Scoring_Model!J285</f>
        <v/>
      </c>
      <c r="G285">
        <f>IF(D285&lt;&gt;"Low Movement","",IFERROR(XLOOKUP(C285&amp;"|anchor",Scoring_Model!$P$2:$P$300,Scoring_Model!$Q$2:$Q$300,INDEX(Scoring_Model!$Q$2:$Q$300,MATCH("Yes",Scoring_Model!$M$2:$M$300,0))),"No anchor found"))</f>
        <v/>
      </c>
      <c r="H285" s="2">
        <f>Scoring_Model!O285</f>
        <v/>
      </c>
      <c r="I285">
        <f>IF(A285="","",IF(D285&lt;&gt;"Low Movement","Stable mover - bundle optional","Pair this low-movement item with the suggested anchor"))</f>
        <v/>
      </c>
    </row>
    <row r="286">
      <c r="A286">
        <f>Scoring_Model!A286</f>
        <v/>
      </c>
      <c r="B286">
        <f>Scoring_Model!B286</f>
        <v/>
      </c>
      <c r="C286">
        <f>Scoring_Model!C286</f>
        <v/>
      </c>
      <c r="D286">
        <f>Scoring_Model!K286</f>
        <v/>
      </c>
      <c r="E286">
        <f>Scoring_Model!L286</f>
        <v/>
      </c>
      <c r="F286" s="2">
        <f>Scoring_Model!J286</f>
        <v/>
      </c>
      <c r="G286">
        <f>IF(D286&lt;&gt;"Low Movement","",IFERROR(XLOOKUP(C286&amp;"|anchor",Scoring_Model!$P$2:$P$300,Scoring_Model!$Q$2:$Q$300,INDEX(Scoring_Model!$Q$2:$Q$300,MATCH("Yes",Scoring_Model!$M$2:$M$300,0))),"No anchor found"))</f>
        <v/>
      </c>
      <c r="H286" s="2">
        <f>Scoring_Model!O286</f>
        <v/>
      </c>
      <c r="I286">
        <f>IF(A286="","",IF(D286&lt;&gt;"Low Movement","Stable mover - bundle optional","Pair this low-movement item with the suggested anchor"))</f>
        <v/>
      </c>
    </row>
    <row r="287">
      <c r="A287">
        <f>Scoring_Model!A287</f>
        <v/>
      </c>
      <c r="B287">
        <f>Scoring_Model!B287</f>
        <v/>
      </c>
      <c r="C287">
        <f>Scoring_Model!C287</f>
        <v/>
      </c>
      <c r="D287">
        <f>Scoring_Model!K287</f>
        <v/>
      </c>
      <c r="E287">
        <f>Scoring_Model!L287</f>
        <v/>
      </c>
      <c r="F287" s="2">
        <f>Scoring_Model!J287</f>
        <v/>
      </c>
      <c r="G287">
        <f>IF(D287&lt;&gt;"Low Movement","",IFERROR(XLOOKUP(C287&amp;"|anchor",Scoring_Model!$P$2:$P$300,Scoring_Model!$Q$2:$Q$300,INDEX(Scoring_Model!$Q$2:$Q$300,MATCH("Yes",Scoring_Model!$M$2:$M$300,0))),"No anchor found"))</f>
        <v/>
      </c>
      <c r="H287" s="2">
        <f>Scoring_Model!O287</f>
        <v/>
      </c>
      <c r="I287">
        <f>IF(A287="","",IF(D287&lt;&gt;"Low Movement","Stable mover - bundle optional","Pair this low-movement item with the suggested anchor"))</f>
        <v/>
      </c>
    </row>
    <row r="288">
      <c r="A288">
        <f>Scoring_Model!A288</f>
        <v/>
      </c>
      <c r="B288">
        <f>Scoring_Model!B288</f>
        <v/>
      </c>
      <c r="C288">
        <f>Scoring_Model!C288</f>
        <v/>
      </c>
      <c r="D288">
        <f>Scoring_Model!K288</f>
        <v/>
      </c>
      <c r="E288">
        <f>Scoring_Model!L288</f>
        <v/>
      </c>
      <c r="F288" s="2">
        <f>Scoring_Model!J288</f>
        <v/>
      </c>
      <c r="G288">
        <f>IF(D288&lt;&gt;"Low Movement","",IFERROR(XLOOKUP(C288&amp;"|anchor",Scoring_Model!$P$2:$P$300,Scoring_Model!$Q$2:$Q$300,INDEX(Scoring_Model!$Q$2:$Q$300,MATCH("Yes",Scoring_Model!$M$2:$M$300,0))),"No anchor found"))</f>
        <v/>
      </c>
      <c r="H288" s="2">
        <f>Scoring_Model!O288</f>
        <v/>
      </c>
      <c r="I288">
        <f>IF(A288="","",IF(D288&lt;&gt;"Low Movement","Stable mover - bundle optional","Pair this low-movement item with the suggested anchor"))</f>
        <v/>
      </c>
    </row>
    <row r="289">
      <c r="A289">
        <f>Scoring_Model!A289</f>
        <v/>
      </c>
      <c r="B289">
        <f>Scoring_Model!B289</f>
        <v/>
      </c>
      <c r="C289">
        <f>Scoring_Model!C289</f>
        <v/>
      </c>
      <c r="D289">
        <f>Scoring_Model!K289</f>
        <v/>
      </c>
      <c r="E289">
        <f>Scoring_Model!L289</f>
        <v/>
      </c>
      <c r="F289" s="2">
        <f>Scoring_Model!J289</f>
        <v/>
      </c>
      <c r="G289">
        <f>IF(D289&lt;&gt;"Low Movement","",IFERROR(XLOOKUP(C289&amp;"|anchor",Scoring_Model!$P$2:$P$300,Scoring_Model!$Q$2:$Q$300,INDEX(Scoring_Model!$Q$2:$Q$300,MATCH("Yes",Scoring_Model!$M$2:$M$300,0))),"No anchor found"))</f>
        <v/>
      </c>
      <c r="H289" s="2">
        <f>Scoring_Model!O289</f>
        <v/>
      </c>
      <c r="I289">
        <f>IF(A289="","",IF(D289&lt;&gt;"Low Movement","Stable mover - bundle optional","Pair this low-movement item with the suggested anchor"))</f>
        <v/>
      </c>
    </row>
    <row r="290">
      <c r="A290">
        <f>Scoring_Model!A290</f>
        <v/>
      </c>
      <c r="B290">
        <f>Scoring_Model!B290</f>
        <v/>
      </c>
      <c r="C290">
        <f>Scoring_Model!C290</f>
        <v/>
      </c>
      <c r="D290">
        <f>Scoring_Model!K290</f>
        <v/>
      </c>
      <c r="E290">
        <f>Scoring_Model!L290</f>
        <v/>
      </c>
      <c r="F290" s="2">
        <f>Scoring_Model!J290</f>
        <v/>
      </c>
      <c r="G290">
        <f>IF(D290&lt;&gt;"Low Movement","",IFERROR(XLOOKUP(C290&amp;"|anchor",Scoring_Model!$P$2:$P$300,Scoring_Model!$Q$2:$Q$300,INDEX(Scoring_Model!$Q$2:$Q$300,MATCH("Yes",Scoring_Model!$M$2:$M$300,0))),"No anchor found"))</f>
        <v/>
      </c>
      <c r="H290" s="2">
        <f>Scoring_Model!O290</f>
        <v/>
      </c>
      <c r="I290">
        <f>IF(A290="","",IF(D290&lt;&gt;"Low Movement","Stable mover - bundle optional","Pair this low-movement item with the suggested anchor"))</f>
        <v/>
      </c>
    </row>
    <row r="291">
      <c r="A291">
        <f>Scoring_Model!A291</f>
        <v/>
      </c>
      <c r="B291">
        <f>Scoring_Model!B291</f>
        <v/>
      </c>
      <c r="C291">
        <f>Scoring_Model!C291</f>
        <v/>
      </c>
      <c r="D291">
        <f>Scoring_Model!K291</f>
        <v/>
      </c>
      <c r="E291">
        <f>Scoring_Model!L291</f>
        <v/>
      </c>
      <c r="F291" s="2">
        <f>Scoring_Model!J291</f>
        <v/>
      </c>
      <c r="G291">
        <f>IF(D291&lt;&gt;"Low Movement","",IFERROR(XLOOKUP(C291&amp;"|anchor",Scoring_Model!$P$2:$P$300,Scoring_Model!$Q$2:$Q$300,INDEX(Scoring_Model!$Q$2:$Q$300,MATCH("Yes",Scoring_Model!$M$2:$M$300,0))),"No anchor found"))</f>
        <v/>
      </c>
      <c r="H291" s="2">
        <f>Scoring_Model!O291</f>
        <v/>
      </c>
      <c r="I291">
        <f>IF(A291="","",IF(D291&lt;&gt;"Low Movement","Stable mover - bundle optional","Pair this low-movement item with the suggested anchor"))</f>
        <v/>
      </c>
    </row>
    <row r="292">
      <c r="A292">
        <f>Scoring_Model!A292</f>
        <v/>
      </c>
      <c r="B292">
        <f>Scoring_Model!B292</f>
        <v/>
      </c>
      <c r="C292">
        <f>Scoring_Model!C292</f>
        <v/>
      </c>
      <c r="D292">
        <f>Scoring_Model!K292</f>
        <v/>
      </c>
      <c r="E292">
        <f>Scoring_Model!L292</f>
        <v/>
      </c>
      <c r="F292" s="2">
        <f>Scoring_Model!J292</f>
        <v/>
      </c>
      <c r="G292">
        <f>IF(D292&lt;&gt;"Low Movement","",IFERROR(XLOOKUP(C292&amp;"|anchor",Scoring_Model!$P$2:$P$300,Scoring_Model!$Q$2:$Q$300,INDEX(Scoring_Model!$Q$2:$Q$300,MATCH("Yes",Scoring_Model!$M$2:$M$300,0))),"No anchor found"))</f>
        <v/>
      </c>
      <c r="H292" s="2">
        <f>Scoring_Model!O292</f>
        <v/>
      </c>
      <c r="I292">
        <f>IF(A292="","",IF(D292&lt;&gt;"Low Movement","Stable mover - bundle optional","Pair this low-movement item with the suggested anchor"))</f>
        <v/>
      </c>
    </row>
    <row r="293">
      <c r="A293">
        <f>Scoring_Model!A293</f>
        <v/>
      </c>
      <c r="B293">
        <f>Scoring_Model!B293</f>
        <v/>
      </c>
      <c r="C293">
        <f>Scoring_Model!C293</f>
        <v/>
      </c>
      <c r="D293">
        <f>Scoring_Model!K293</f>
        <v/>
      </c>
      <c r="E293">
        <f>Scoring_Model!L293</f>
        <v/>
      </c>
      <c r="F293" s="2">
        <f>Scoring_Model!J293</f>
        <v/>
      </c>
      <c r="G293">
        <f>IF(D293&lt;&gt;"Low Movement","",IFERROR(XLOOKUP(C293&amp;"|anchor",Scoring_Model!$P$2:$P$300,Scoring_Model!$Q$2:$Q$300,INDEX(Scoring_Model!$Q$2:$Q$300,MATCH("Yes",Scoring_Model!$M$2:$M$300,0))),"No anchor found"))</f>
        <v/>
      </c>
      <c r="H293" s="2">
        <f>Scoring_Model!O293</f>
        <v/>
      </c>
      <c r="I293">
        <f>IF(A293="","",IF(D293&lt;&gt;"Low Movement","Stable mover - bundle optional","Pair this low-movement item with the suggested anchor"))</f>
        <v/>
      </c>
    </row>
    <row r="294">
      <c r="A294">
        <f>Scoring_Model!A294</f>
        <v/>
      </c>
      <c r="B294">
        <f>Scoring_Model!B294</f>
        <v/>
      </c>
      <c r="C294">
        <f>Scoring_Model!C294</f>
        <v/>
      </c>
      <c r="D294">
        <f>Scoring_Model!K294</f>
        <v/>
      </c>
      <c r="E294">
        <f>Scoring_Model!L294</f>
        <v/>
      </c>
      <c r="F294" s="2">
        <f>Scoring_Model!J294</f>
        <v/>
      </c>
      <c r="G294">
        <f>IF(D294&lt;&gt;"Low Movement","",IFERROR(XLOOKUP(C294&amp;"|anchor",Scoring_Model!$P$2:$P$300,Scoring_Model!$Q$2:$Q$300,INDEX(Scoring_Model!$Q$2:$Q$300,MATCH("Yes",Scoring_Model!$M$2:$M$300,0))),"No anchor found"))</f>
        <v/>
      </c>
      <c r="H294" s="2">
        <f>Scoring_Model!O294</f>
        <v/>
      </c>
      <c r="I294">
        <f>IF(A294="","",IF(D294&lt;&gt;"Low Movement","Stable mover - bundle optional","Pair this low-movement item with the suggested anchor"))</f>
        <v/>
      </c>
    </row>
    <row r="295">
      <c r="A295">
        <f>Scoring_Model!A295</f>
        <v/>
      </c>
      <c r="B295">
        <f>Scoring_Model!B295</f>
        <v/>
      </c>
      <c r="C295">
        <f>Scoring_Model!C295</f>
        <v/>
      </c>
      <c r="D295">
        <f>Scoring_Model!K295</f>
        <v/>
      </c>
      <c r="E295">
        <f>Scoring_Model!L295</f>
        <v/>
      </c>
      <c r="F295" s="2">
        <f>Scoring_Model!J295</f>
        <v/>
      </c>
      <c r="G295">
        <f>IF(D295&lt;&gt;"Low Movement","",IFERROR(XLOOKUP(C295&amp;"|anchor",Scoring_Model!$P$2:$P$300,Scoring_Model!$Q$2:$Q$300,INDEX(Scoring_Model!$Q$2:$Q$300,MATCH("Yes",Scoring_Model!$M$2:$M$300,0))),"No anchor found"))</f>
        <v/>
      </c>
      <c r="H295" s="2">
        <f>Scoring_Model!O295</f>
        <v/>
      </c>
      <c r="I295">
        <f>IF(A295="","",IF(D295&lt;&gt;"Low Movement","Stable mover - bundle optional","Pair this low-movement item with the suggested anchor"))</f>
        <v/>
      </c>
    </row>
    <row r="296">
      <c r="A296">
        <f>Scoring_Model!A296</f>
        <v/>
      </c>
      <c r="B296">
        <f>Scoring_Model!B296</f>
        <v/>
      </c>
      <c r="C296">
        <f>Scoring_Model!C296</f>
        <v/>
      </c>
      <c r="D296">
        <f>Scoring_Model!K296</f>
        <v/>
      </c>
      <c r="E296">
        <f>Scoring_Model!L296</f>
        <v/>
      </c>
      <c r="F296" s="2">
        <f>Scoring_Model!J296</f>
        <v/>
      </c>
      <c r="G296">
        <f>IF(D296&lt;&gt;"Low Movement","",IFERROR(XLOOKUP(C296&amp;"|anchor",Scoring_Model!$P$2:$P$300,Scoring_Model!$Q$2:$Q$300,INDEX(Scoring_Model!$Q$2:$Q$300,MATCH("Yes",Scoring_Model!$M$2:$M$300,0))),"No anchor found"))</f>
        <v/>
      </c>
      <c r="H296" s="2">
        <f>Scoring_Model!O296</f>
        <v/>
      </c>
      <c r="I296">
        <f>IF(A296="","",IF(D296&lt;&gt;"Low Movement","Stable mover - bundle optional","Pair this low-movement item with the suggested anchor"))</f>
        <v/>
      </c>
    </row>
    <row r="297">
      <c r="A297">
        <f>Scoring_Model!A297</f>
        <v/>
      </c>
      <c r="B297">
        <f>Scoring_Model!B297</f>
        <v/>
      </c>
      <c r="C297">
        <f>Scoring_Model!C297</f>
        <v/>
      </c>
      <c r="D297">
        <f>Scoring_Model!K297</f>
        <v/>
      </c>
      <c r="E297">
        <f>Scoring_Model!L297</f>
        <v/>
      </c>
      <c r="F297" s="2">
        <f>Scoring_Model!J297</f>
        <v/>
      </c>
      <c r="G297">
        <f>IF(D297&lt;&gt;"Low Movement","",IFERROR(XLOOKUP(C297&amp;"|anchor",Scoring_Model!$P$2:$P$300,Scoring_Model!$Q$2:$Q$300,INDEX(Scoring_Model!$Q$2:$Q$300,MATCH("Yes",Scoring_Model!$M$2:$M$300,0))),"No anchor found"))</f>
        <v/>
      </c>
      <c r="H297" s="2">
        <f>Scoring_Model!O297</f>
        <v/>
      </c>
      <c r="I297">
        <f>IF(A297="","",IF(D297&lt;&gt;"Low Movement","Stable mover - bundle optional","Pair this low-movement item with the suggested anchor"))</f>
        <v/>
      </c>
    </row>
    <row r="298">
      <c r="A298">
        <f>Scoring_Model!A298</f>
        <v/>
      </c>
      <c r="B298">
        <f>Scoring_Model!B298</f>
        <v/>
      </c>
      <c r="C298">
        <f>Scoring_Model!C298</f>
        <v/>
      </c>
      <c r="D298">
        <f>Scoring_Model!K298</f>
        <v/>
      </c>
      <c r="E298">
        <f>Scoring_Model!L298</f>
        <v/>
      </c>
      <c r="F298" s="2">
        <f>Scoring_Model!J298</f>
        <v/>
      </c>
      <c r="G298">
        <f>IF(D298&lt;&gt;"Low Movement","",IFERROR(XLOOKUP(C298&amp;"|anchor",Scoring_Model!$P$2:$P$300,Scoring_Model!$Q$2:$Q$300,INDEX(Scoring_Model!$Q$2:$Q$300,MATCH("Yes",Scoring_Model!$M$2:$M$300,0))),"No anchor found"))</f>
        <v/>
      </c>
      <c r="H298" s="2">
        <f>Scoring_Model!O298</f>
        <v/>
      </c>
      <c r="I298">
        <f>IF(A298="","",IF(D298&lt;&gt;"Low Movement","Stable mover - bundle optional","Pair this low-movement item with the suggested anchor"))</f>
        <v/>
      </c>
    </row>
    <row r="299">
      <c r="A299">
        <f>Scoring_Model!A299</f>
        <v/>
      </c>
      <c r="B299">
        <f>Scoring_Model!B299</f>
        <v/>
      </c>
      <c r="C299">
        <f>Scoring_Model!C299</f>
        <v/>
      </c>
      <c r="D299">
        <f>Scoring_Model!K299</f>
        <v/>
      </c>
      <c r="E299">
        <f>Scoring_Model!L299</f>
        <v/>
      </c>
      <c r="F299" s="2">
        <f>Scoring_Model!J299</f>
        <v/>
      </c>
      <c r="G299">
        <f>IF(D299&lt;&gt;"Low Movement","",IFERROR(XLOOKUP(C299&amp;"|anchor",Scoring_Model!$P$2:$P$300,Scoring_Model!$Q$2:$Q$300,INDEX(Scoring_Model!$Q$2:$Q$300,MATCH("Yes",Scoring_Model!$M$2:$M$300,0))),"No anchor found"))</f>
        <v/>
      </c>
      <c r="H299" s="2">
        <f>Scoring_Model!O299</f>
        <v/>
      </c>
      <c r="I299">
        <f>IF(A299="","",IF(D299&lt;&gt;"Low Movement","Stable mover - bundle optional","Pair this low-movement item with the suggested anchor"))</f>
        <v/>
      </c>
    </row>
    <row r="300">
      <c r="A300">
        <f>Scoring_Model!A300</f>
        <v/>
      </c>
      <c r="B300">
        <f>Scoring_Model!B300</f>
        <v/>
      </c>
      <c r="C300">
        <f>Scoring_Model!C300</f>
        <v/>
      </c>
      <c r="D300">
        <f>Scoring_Model!K300</f>
        <v/>
      </c>
      <c r="E300">
        <f>Scoring_Model!L300</f>
        <v/>
      </c>
      <c r="F300" s="2">
        <f>Scoring_Model!J300</f>
        <v/>
      </c>
      <c r="G300">
        <f>IF(D300&lt;&gt;"Low Movement","",IFERROR(XLOOKUP(C300&amp;"|anchor",Scoring_Model!$P$2:$P$300,Scoring_Model!$Q$2:$Q$300,INDEX(Scoring_Model!$Q$2:$Q$300,MATCH("Yes",Scoring_Model!$M$2:$M$300,0))),"No anchor found"))</f>
        <v/>
      </c>
      <c r="H300" s="2">
        <f>Scoring_Model!O300</f>
        <v/>
      </c>
      <c r="I300">
        <f>IF(A300="","",IF(D300&lt;&gt;"Low Movement","Stable mover - bundle optional","Pair this low-movement item with the suggested anchor"))</f>
        <v/>
      </c>
    </row>
  </sheetData>
  <autoFilter ref="A1:I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3" t="inlineStr">
        <is>
          <t>Bundle logic used in this workbook</t>
        </is>
      </c>
    </row>
    <row r="3">
      <c r="A3" t="inlineStr">
        <is>
          <t>1) Fill Input_Data with the last 6 months purchased quantity and contribution% per product.</t>
        </is>
      </c>
    </row>
    <row r="4">
      <c r="A4" t="inlineStr">
        <is>
          <t>2) Movement_Percentile ranks each product by 6-month quantity sold (0 = least moved, 1 = fastest mover).</t>
        </is>
      </c>
    </row>
    <row r="5">
      <c r="A5" t="inlineStr">
        <is>
          <t>3) Unmoved_Score = 1 - Movement_Percentile so low-movement products get higher focus score.</t>
        </is>
      </c>
    </row>
    <row r="6">
      <c r="A6" t="inlineStr">
        <is>
          <t>4) Contribution_Percentile ranks products by contribution to total sales value.</t>
        </is>
      </c>
    </row>
    <row r="7">
      <c r="A7" t="inlineStr">
        <is>
          <t>5) Bundle_Priority_Score = 0.60 * Unmoved_Score + 0.40 * Contribution_Percentile.</t>
        </is>
      </c>
    </row>
    <row r="8">
      <c r="A8" t="inlineStr">
        <is>
          <t>6) Value clusters are based on Bundle_Priority_Score:</t>
        </is>
      </c>
    </row>
    <row r="9">
      <c r="A9" t="inlineStr">
        <is>
          <t xml:space="preserve">   - High Value Bundle: score &gt;= 0.67</t>
        </is>
      </c>
    </row>
    <row r="10">
      <c r="A10" t="inlineStr">
        <is>
          <t xml:space="preserve">   - Medium Value Bundle: 0.34 &lt;= score &lt; 0.67</t>
        </is>
      </c>
    </row>
    <row r="11">
      <c r="A11" t="inlineStr">
        <is>
          <t xml:space="preserve">   - Low Value Bundle: score &lt; 0.34</t>
        </is>
      </c>
    </row>
    <row r="12">
      <c r="A12" t="inlineStr">
        <is>
          <t>7) Anchor_Eligible products are those with strong movement and strong contribution (&gt;=66th percentile both).</t>
        </is>
      </c>
    </row>
    <row r="13">
      <c r="A13" t="inlineStr">
        <is>
          <t>8) Candidate_Eligible products are low-movement products; bundle them with anchor products from same category.</t>
        </is>
      </c>
    </row>
    <row r="14">
      <c r="A14" t="inlineStr">
        <is>
          <t>9) Suggested discount defaults: High=10%, Medium=15%, Low=20%. Tune by margin and stock age.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2026-05-16T11:57:34Z</dcterms:created>
  <dcterms:modified xsi:type="dcterms:W3CDTF">2026-05-16T11:57:34Z</dcterms:modified>
</cp:coreProperties>
</file>